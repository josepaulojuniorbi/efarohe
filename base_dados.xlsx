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josep\Downloads\"/>
    </mc:Choice>
  </mc:AlternateContent>
  <xr:revisionPtr revIDLastSave="0" documentId="13_ncr:1_{47223824-FFAF-42E9-BF2A-6F18A16B0FF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lan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4" i="1" l="1"/>
  <c r="B85" i="1"/>
  <c r="B64" i="1"/>
  <c r="B65" i="1"/>
  <c r="B66" i="1"/>
  <c r="B67" i="1"/>
  <c r="H64" i="1"/>
  <c r="H65" i="1"/>
  <c r="H66" i="1"/>
  <c r="H67" i="1"/>
  <c r="B68" i="1"/>
  <c r="B69" i="1"/>
  <c r="H68" i="1"/>
  <c r="H69" i="1"/>
  <c r="B70" i="1"/>
  <c r="B71" i="1"/>
  <c r="B72" i="1"/>
  <c r="B73" i="1"/>
  <c r="H70" i="1"/>
  <c r="H71" i="1"/>
  <c r="H72" i="1"/>
  <c r="H73" i="1"/>
  <c r="B74" i="1"/>
  <c r="B75" i="1"/>
  <c r="H74" i="1"/>
  <c r="H75" i="1"/>
  <c r="B76" i="1"/>
  <c r="B77" i="1"/>
  <c r="B78" i="1"/>
  <c r="H76" i="1"/>
  <c r="H77" i="1"/>
  <c r="H78" i="1"/>
  <c r="B79" i="1"/>
  <c r="B80" i="1"/>
  <c r="B81" i="1"/>
  <c r="H79" i="1"/>
  <c r="H80" i="1"/>
  <c r="H81" i="1"/>
  <c r="B82" i="1"/>
  <c r="B83" i="1"/>
  <c r="H82" i="1"/>
  <c r="H83" i="1"/>
  <c r="B59" i="1"/>
  <c r="B60" i="1"/>
  <c r="B61" i="1"/>
  <c r="B62" i="1"/>
  <c r="B63" i="1"/>
  <c r="H59" i="1"/>
  <c r="H60" i="1"/>
  <c r="H61" i="1"/>
  <c r="H62" i="1"/>
  <c r="H63" i="1"/>
  <c r="B44" i="1"/>
  <c r="B45" i="1"/>
  <c r="B46" i="1"/>
  <c r="B47" i="1"/>
  <c r="B48" i="1"/>
  <c r="H44" i="1"/>
  <c r="H45" i="1"/>
  <c r="H46" i="1"/>
  <c r="H47" i="1"/>
  <c r="H48" i="1"/>
  <c r="B49" i="1"/>
  <c r="B50" i="1"/>
  <c r="B51" i="1"/>
  <c r="H49" i="1"/>
  <c r="H50" i="1"/>
  <c r="H51" i="1"/>
  <c r="B52" i="1"/>
  <c r="B53" i="1"/>
  <c r="B54" i="1"/>
  <c r="H52" i="1"/>
  <c r="H53" i="1"/>
  <c r="H54" i="1"/>
  <c r="B55" i="1"/>
  <c r="B56" i="1"/>
  <c r="B57" i="1"/>
  <c r="B58" i="1"/>
  <c r="H55" i="1"/>
  <c r="H56" i="1"/>
  <c r="H57" i="1"/>
  <c r="H58" i="1"/>
  <c r="H33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H37" i="1"/>
  <c r="H38" i="1"/>
  <c r="H39" i="1"/>
  <c r="H40" i="1"/>
  <c r="H41" i="1"/>
  <c r="H42" i="1"/>
  <c r="H43" i="1"/>
  <c r="H84" i="1"/>
  <c r="H85" i="1"/>
  <c r="H22" i="1"/>
  <c r="H23" i="1"/>
  <c r="H24" i="1"/>
  <c r="H25" i="1"/>
  <c r="H26" i="1"/>
  <c r="H27" i="1"/>
  <c r="H28" i="1"/>
  <c r="H29" i="1"/>
  <c r="H30" i="1"/>
  <c r="H31" i="1"/>
  <c r="H32" i="1"/>
  <c r="H34" i="1"/>
  <c r="H2" i="1"/>
  <c r="H3" i="1"/>
  <c r="H4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35" i="1"/>
  <c r="H36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B233" i="1"/>
  <c r="B234" i="1"/>
  <c r="B229" i="1"/>
  <c r="B230" i="1"/>
  <c r="B231" i="1"/>
  <c r="B232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223" i="1"/>
  <c r="B224" i="1"/>
  <c r="B225" i="1"/>
  <c r="B226" i="1"/>
  <c r="B227" i="1"/>
  <c r="B228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</calcChain>
</file>

<file path=xl/sharedStrings.xml><?xml version="1.0" encoding="utf-8"?>
<sst xmlns="http://schemas.openxmlformats.org/spreadsheetml/2006/main" count="104" uniqueCount="9">
  <si>
    <t>Data</t>
  </si>
  <si>
    <t>Dia</t>
  </si>
  <si>
    <t>Total</t>
  </si>
  <si>
    <t>Expediente</t>
  </si>
  <si>
    <t>Entrada 1</t>
  </si>
  <si>
    <t>Saída 1</t>
  </si>
  <si>
    <t>Entrada 2</t>
  </si>
  <si>
    <t>Saída 2</t>
  </si>
  <si>
    <t>Férias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</si>
</sst>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</font>
    <font>
      <sz val="10"/>
      <color theme="1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/>
    </xf>
    <xf numFmtId="16" fontId="2" fillId="0" borderId="2" xfId="0" applyNumberFormat="1" applyFont="1" applyBorder="1" applyAlignment="1">
      <alignment horizontal="center" wrapText="1"/>
    </xf>
    <xf numFmtId="164" fontId="2" fillId="0" borderId="2" xfId="0" applyNumberFormat="1" applyFont="1" applyBorder="1" applyAlignment="1">
      <alignment horizontal="center" wrapText="1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2" xfId="0" applyNumberFormat="1" applyBorder="1" applyAlignment="1">
      <alignment horizontal="center"/>
    </xf>
    <xf numFmtId="21" fontId="2" fillId="2" borderId="2" xfId="0" applyNumberFormat="1" applyFont="1" applyFill="1" applyBorder="1" applyAlignment="1">
      <alignment horizontal="center" wrapText="1"/>
    </xf>
    <xf numFmtId="16" fontId="0" fillId="0" borderId="2" xfId="0" applyNumberFormat="1" applyBorder="1" applyAlignment="1">
      <alignment horizontal="center"/>
    </xf>
  </cellXfs>
  <cellStyles count="1">
    <cellStyle name="Normal" xfId="0" builtinId="0"/>
  </cellStyles>
  <dxfs count="11">
    <dxf>
      <numFmt numFmtId="164" formatCode="[$-F400]h:mm:ss\ AM/PM"/>
      <alignment horizontal="center" vertical="bottom" textRotation="0" wrapText="0" indent="0" justifyLastLine="0" shrinkToFit="0" readingOrder="0"/>
    </dxf>
    <dxf>
      <numFmt numFmtId="164" formatCode="[$-F400]h:mm:ss\ AM/PM"/>
      <alignment horizontal="center" vertical="bottom" textRotation="0" indent="0" justifyLastLine="0" shrinkToFit="0" readingOrder="0"/>
    </dxf>
    <dxf>
      <numFmt numFmtId="164" formatCode="[$-F400]h:mm:ss\ AM/PM"/>
      <alignment horizontal="center" vertical="bottom" textRotation="0" indent="0" justifyLastLine="0" shrinkToFit="0" readingOrder="0"/>
    </dxf>
    <dxf>
      <numFmt numFmtId="164" formatCode="[$-F400]h:mm:ss\ AM/PM"/>
      <alignment horizontal="center" vertical="bottom" textRotation="0" indent="0" justifyLastLine="0" shrinkToFit="0" readingOrder="0"/>
    </dxf>
    <dxf>
      <numFmt numFmtId="164" formatCode="[$-F400]h:mm:ss\ AM/PM"/>
      <alignment horizontal="center" vertical="bottom" textRotation="0" indent="0" justifyLastLine="0" shrinkToFit="0" readingOrder="0"/>
    </dxf>
    <dxf>
      <numFmt numFmtId="164" formatCode="[$-F400]h:mm:ss\ AM/PM"/>
      <alignment horizontal="center" vertical="bottom" textRotation="0" indent="0" justifyLastLine="0" shrinkToFit="0" readingOrder="0"/>
    </dxf>
    <dxf>
      <alignment horizontal="center" vertical="bottom" textRotation="0" indent="0" justifyLastLine="0" shrinkToFit="0" readingOrder="0"/>
    </dxf>
    <dxf>
      <alignment horizontal="center" vertical="bottom" textRotation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9D2A9E-4B2D-442C-8A5B-1166A261B733}" name="Tabela1" displayName="Tabela1" ref="A1:H317" totalsRowShown="0" headerRowDxfId="10" headerRowBorderDxfId="9" tableBorderDxfId="8">
  <autoFilter ref="A1:H317" xr:uid="{E49D2A9E-4B2D-442C-8A5B-1166A261B733}"/>
  <tableColumns count="8">
    <tableColumn id="1" xr3:uid="{BE5355BA-A4FD-4D9A-9F41-663FA69FE04B}" name="Data" dataDxfId="7"/>
    <tableColumn id="2" xr3:uid="{D35D2D6A-0B97-4665-8226-0A601E6DA3B0}" name="Dia" dataDxfId="6">
      <calculatedColumnFormula>TEXT(A2,"dddd")</calculatedColumnFormula>
    </tableColumn>
    <tableColumn id="4" xr3:uid="{EA58D69C-43C9-4262-8DB2-A44E101C0ECB}" name="Entrada 1" dataDxfId="5"/>
    <tableColumn id="5" xr3:uid="{DF00FAFA-68B4-4CDE-B6DD-EF908C0A519A}" name="Saída 1" dataDxfId="4"/>
    <tableColumn id="6" xr3:uid="{A9756BC6-AABB-41B7-831D-A935DDA2A2C2}" name="Entrada 2" dataDxfId="3"/>
    <tableColumn id="7" xr3:uid="{EFED025A-49B2-4155-A587-CF2EF7D92785}" name="Saída 2" dataDxfId="2"/>
    <tableColumn id="3" xr3:uid="{65BEC60D-97E3-45B2-8160-47582162218E}" name="Expediente" dataDxfId="1"/>
    <tableColumn id="8" xr3:uid="{519C7D1F-F8C2-49CC-A4FC-5C9A2EEBFC3D}" name="Total" dataDxfId="0">
      <calculatedColumnFormula>((D2-C2)+(F2-E2))-Tabela1[[#This Row],[Expediente]]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7"/>
  <sheetViews>
    <sheetView tabSelected="1" workbookViewId="0">
      <pane ySplit="1" topLeftCell="A66" activePane="bottomLeft" state="frozen"/>
      <selection pane="bottomLeft" activeCell="F86" sqref="F86"/>
    </sheetView>
  </sheetViews>
  <sheetFormatPr defaultRowHeight="15" x14ac:dyDescent="0.25"/>
  <cols>
    <col min="1" max="1" width="10.7109375" style="5" bestFit="1" customWidth="1"/>
    <col min="2" max="2" width="13.42578125" style="5" bestFit="1" customWidth="1"/>
    <col min="3" max="3" width="13.28515625" style="6" bestFit="1" customWidth="1"/>
    <col min="4" max="4" width="11.28515625" style="6" bestFit="1" customWidth="1"/>
    <col min="5" max="5" width="13.28515625" style="6" bestFit="1" customWidth="1"/>
    <col min="6" max="6" width="11.28515625" style="6" bestFit="1" customWidth="1"/>
    <col min="7" max="7" width="15.7109375" style="6" bestFit="1" customWidth="1"/>
    <col min="8" max="8" width="13.5703125" style="6" customWidth="1"/>
  </cols>
  <sheetData>
    <row r="1" spans="1:8" x14ac:dyDescent="0.25">
      <c r="A1" s="1" t="s">
        <v>0</v>
      </c>
      <c r="B1" s="1" t="s">
        <v>1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3</v>
      </c>
      <c r="H1" s="1" t="s">
        <v>2</v>
      </c>
    </row>
    <row r="2" spans="1:8" x14ac:dyDescent="0.25">
      <c r="A2" s="2">
        <v>45649</v>
      </c>
      <c r="B2" s="4" t="str">
        <f t="shared" ref="B2:B43" si="0">TEXT(A2,"dddd")</f>
        <v>segunda-feira</v>
      </c>
      <c r="C2" s="3">
        <v>0.3125</v>
      </c>
      <c r="D2" s="3">
        <v>0.52708333333333335</v>
      </c>
      <c r="E2" s="3">
        <v>0.57361111111111107</v>
      </c>
      <c r="F2" s="3">
        <v>0.77569444444444446</v>
      </c>
      <c r="G2" s="3">
        <v>0.36666666666666664</v>
      </c>
      <c r="H2" s="7">
        <f>((D2-C2)+(F2-E2))-Tabela1[[#This Row],[Expediente]]</f>
        <v>5.00000000000001E-2</v>
      </c>
    </row>
    <row r="3" spans="1:8" x14ac:dyDescent="0.25">
      <c r="A3" s="2">
        <v>45652</v>
      </c>
      <c r="B3" s="4" t="str">
        <f t="shared" si="0"/>
        <v>quinta-feira</v>
      </c>
      <c r="C3" s="3">
        <v>0.31666666666666665</v>
      </c>
      <c r="D3" s="3">
        <v>0.52569444444444446</v>
      </c>
      <c r="E3" s="3">
        <v>0.57361111111111107</v>
      </c>
      <c r="F3" s="3">
        <v>0.75</v>
      </c>
      <c r="G3" s="3">
        <v>0.36666666666666664</v>
      </c>
      <c r="H3" s="7">
        <f>((D3-C3)+(F3-E3))-Tabela1[[#This Row],[Expediente]]</f>
        <v>1.87500000000001E-2</v>
      </c>
    </row>
    <row r="4" spans="1:8" x14ac:dyDescent="0.25">
      <c r="A4" s="2">
        <v>45653</v>
      </c>
      <c r="B4" s="4" t="str">
        <f t="shared" si="0"/>
        <v>sexta-feira</v>
      </c>
      <c r="C4" s="3">
        <v>0.31111111111111112</v>
      </c>
      <c r="D4" s="3">
        <v>0.52569444444444446</v>
      </c>
      <c r="E4" s="3">
        <v>0.57777777777777772</v>
      </c>
      <c r="F4" s="3">
        <v>0.76875000000000004</v>
      </c>
      <c r="G4" s="3">
        <v>0.36666666666666664</v>
      </c>
      <c r="H4" s="7">
        <f>((D4-C4)+(F4-E4))-Tabela1[[#This Row],[Expediente]]</f>
        <v>3.8888888888889028E-2</v>
      </c>
    </row>
    <row r="5" spans="1:8" x14ac:dyDescent="0.25">
      <c r="A5" s="2">
        <v>45656</v>
      </c>
      <c r="B5" s="4" t="str">
        <f t="shared" si="0"/>
        <v>segunda-feira</v>
      </c>
      <c r="C5" s="3">
        <v>0.29791666666666666</v>
      </c>
      <c r="D5" s="3">
        <v>0.5229166666666667</v>
      </c>
      <c r="E5" s="3">
        <v>0.56874999999999998</v>
      </c>
      <c r="F5" s="3">
        <v>0.75138888888888888</v>
      </c>
      <c r="G5" s="3">
        <v>0.36666666666666664</v>
      </c>
      <c r="H5" s="7">
        <f>((D5-C5)+(F5-E5))-Tabela1[[#This Row],[Expediente]]</f>
        <v>4.0972222222222299E-2</v>
      </c>
    </row>
    <row r="6" spans="1:8" x14ac:dyDescent="0.25">
      <c r="A6" s="2">
        <v>45659</v>
      </c>
      <c r="B6" s="4" t="str">
        <f t="shared" si="0"/>
        <v>quinta-feira</v>
      </c>
      <c r="C6" s="3">
        <v>0.31597222222222221</v>
      </c>
      <c r="D6" s="3">
        <v>0.52083333333333337</v>
      </c>
      <c r="E6" s="3">
        <v>0.56874999999999998</v>
      </c>
      <c r="F6" s="3">
        <v>0.75069444444444444</v>
      </c>
      <c r="G6" s="3">
        <v>0.36666666666666664</v>
      </c>
      <c r="H6" s="7">
        <f>((D6-C6)+(F6-E6))-Tabela1[[#This Row],[Expediente]]</f>
        <v>2.0138888888888984E-2</v>
      </c>
    </row>
    <row r="7" spans="1:8" x14ac:dyDescent="0.25">
      <c r="A7" s="2">
        <v>45660</v>
      </c>
      <c r="B7" s="4" t="str">
        <f t="shared" si="0"/>
        <v>sexta-feira</v>
      </c>
      <c r="C7" s="3">
        <v>0.3263888888888889</v>
      </c>
      <c r="D7" s="3">
        <v>0.5229166666666667</v>
      </c>
      <c r="E7" s="3">
        <v>0.5756944444444444</v>
      </c>
      <c r="F7" s="3">
        <v>0.75347222222222221</v>
      </c>
      <c r="G7" s="3">
        <v>0.36666666666666664</v>
      </c>
      <c r="H7" s="7">
        <f>((D7-C7)+(F7-E7))-Tabela1[[#This Row],[Expediente]]</f>
        <v>7.6388888888889728E-3</v>
      </c>
    </row>
    <row r="8" spans="1:8" x14ac:dyDescent="0.25">
      <c r="A8" s="2">
        <v>45663</v>
      </c>
      <c r="B8" s="4" t="str">
        <f t="shared" si="0"/>
        <v>segunda-feira</v>
      </c>
      <c r="C8" s="3">
        <v>0.30416666666666664</v>
      </c>
      <c r="D8" s="3">
        <v>0.52361111111111114</v>
      </c>
      <c r="E8" s="3">
        <v>0.57361111111111107</v>
      </c>
      <c r="F8" s="3">
        <v>0.74791666666666667</v>
      </c>
      <c r="G8" s="3">
        <v>0.36666666666666664</v>
      </c>
      <c r="H8" s="7">
        <f>((D8-C8)+(F8-E8))-Tabela1[[#This Row],[Expediente]]</f>
        <v>2.7083333333333459E-2</v>
      </c>
    </row>
    <row r="9" spans="1:8" x14ac:dyDescent="0.25">
      <c r="A9" s="2">
        <v>45664</v>
      </c>
      <c r="B9" s="4" t="str">
        <f t="shared" si="0"/>
        <v>terça-feira</v>
      </c>
      <c r="C9" s="3">
        <v>0.30208333333333331</v>
      </c>
      <c r="D9" s="3">
        <v>0.52777777777777779</v>
      </c>
      <c r="E9" s="3">
        <v>0.57777777777777772</v>
      </c>
      <c r="F9" s="3">
        <v>0.78055555555555556</v>
      </c>
      <c r="G9" s="3">
        <v>0.36666666666666664</v>
      </c>
      <c r="H9" s="7">
        <f>((D9-C9)+(F9-E9))-Tabela1[[#This Row],[Expediente]]</f>
        <v>6.1805555555555669E-2</v>
      </c>
    </row>
    <row r="10" spans="1:8" x14ac:dyDescent="0.25">
      <c r="A10" s="2">
        <v>45665</v>
      </c>
      <c r="B10" s="4" t="str">
        <f t="shared" si="0"/>
        <v>quarta-feira</v>
      </c>
      <c r="C10" s="3">
        <v>0.30416666666666664</v>
      </c>
      <c r="D10" s="3">
        <v>0.52569444444444446</v>
      </c>
      <c r="E10" s="3">
        <v>0.57152777777777775</v>
      </c>
      <c r="F10" s="3">
        <v>0.74513888888888891</v>
      </c>
      <c r="G10" s="3">
        <v>0.36666666666666664</v>
      </c>
      <c r="H10" s="7">
        <f>((D10-C10)+(F10-E10))-Tabela1[[#This Row],[Expediente]]</f>
        <v>2.8472222222222343E-2</v>
      </c>
    </row>
    <row r="11" spans="1:8" x14ac:dyDescent="0.25">
      <c r="A11" s="2">
        <v>45666</v>
      </c>
      <c r="B11" s="4" t="str">
        <f t="shared" si="0"/>
        <v>quinta-feira</v>
      </c>
      <c r="C11" s="3">
        <v>0.30763888888888891</v>
      </c>
      <c r="D11" s="3">
        <v>0.52430555555555558</v>
      </c>
      <c r="E11" s="3">
        <v>0.5756944444444444</v>
      </c>
      <c r="F11" s="3">
        <v>0.75277777777777777</v>
      </c>
      <c r="G11" s="3">
        <v>0.36666666666666664</v>
      </c>
      <c r="H11" s="7">
        <f>((D11-C11)+(F11-E11))-Tabela1[[#This Row],[Expediente]]</f>
        <v>2.7083333333333404E-2</v>
      </c>
    </row>
    <row r="12" spans="1:8" x14ac:dyDescent="0.25">
      <c r="A12" s="2">
        <v>45667</v>
      </c>
      <c r="B12" s="4" t="str">
        <f t="shared" si="0"/>
        <v>sexta-feira</v>
      </c>
      <c r="C12" s="3">
        <v>0.30138888888888887</v>
      </c>
      <c r="D12" s="3">
        <v>0.52430555555555558</v>
      </c>
      <c r="E12" s="3">
        <v>0.5756944444444444</v>
      </c>
      <c r="F12" s="3">
        <v>0.74583333333333335</v>
      </c>
      <c r="G12" s="3">
        <v>0.36666666666666664</v>
      </c>
      <c r="H12" s="7">
        <f>((D12-C12)+(F12-E12))-Tabela1[[#This Row],[Expediente]]</f>
        <v>2.6388888888889017E-2</v>
      </c>
    </row>
    <row r="13" spans="1:8" x14ac:dyDescent="0.25">
      <c r="A13" s="2">
        <v>45670</v>
      </c>
      <c r="B13" s="4" t="str">
        <f t="shared" si="0"/>
        <v>segunda-feira</v>
      </c>
      <c r="C13" s="3">
        <v>0.31041666666666667</v>
      </c>
      <c r="D13" s="3">
        <v>0.52430555555555558</v>
      </c>
      <c r="E13" s="3">
        <v>0.57291666666666663</v>
      </c>
      <c r="F13" s="3">
        <v>0.77638888888888891</v>
      </c>
      <c r="G13" s="3">
        <v>0.36666666666666664</v>
      </c>
      <c r="H13" s="7">
        <f>((D13-C13)+(F13-E13))-Tabela1[[#This Row],[Expediente]]</f>
        <v>5.0694444444444542E-2</v>
      </c>
    </row>
    <row r="14" spans="1:8" x14ac:dyDescent="0.25">
      <c r="A14" s="2">
        <v>45671</v>
      </c>
      <c r="B14" s="4" t="str">
        <f t="shared" si="0"/>
        <v>terça-feira</v>
      </c>
      <c r="C14" s="3">
        <v>0.30555555555555558</v>
      </c>
      <c r="D14" s="3">
        <v>0.52361111111111114</v>
      </c>
      <c r="E14" s="3">
        <v>0.57499999999999996</v>
      </c>
      <c r="F14" s="3">
        <v>0.76249999999999996</v>
      </c>
      <c r="G14" s="3">
        <v>0.36666666666666664</v>
      </c>
      <c r="H14" s="7">
        <f>((D14-C14)+(F14-E14))-Tabela1[[#This Row],[Expediente]]</f>
        <v>3.8888888888888917E-2</v>
      </c>
    </row>
    <row r="15" spans="1:8" x14ac:dyDescent="0.25">
      <c r="A15" s="2">
        <v>45672</v>
      </c>
      <c r="B15" s="4" t="str">
        <f t="shared" si="0"/>
        <v>quarta-feira</v>
      </c>
      <c r="C15" s="3">
        <v>0.30486111111111114</v>
      </c>
      <c r="D15" s="3">
        <v>0.51944444444444449</v>
      </c>
      <c r="E15" s="3">
        <v>0.57222222222222219</v>
      </c>
      <c r="F15" s="3">
        <v>0.76249999999999996</v>
      </c>
      <c r="G15" s="3">
        <v>0.36666666666666664</v>
      </c>
      <c r="H15" s="7">
        <f>((D15-C15)+(F15-E15))-Tabela1[[#This Row],[Expediente]]</f>
        <v>3.8194444444444475E-2</v>
      </c>
    </row>
    <row r="16" spans="1:8" x14ac:dyDescent="0.25">
      <c r="A16" s="2">
        <v>45673</v>
      </c>
      <c r="B16" s="4" t="str">
        <f t="shared" si="0"/>
        <v>quinta-feira</v>
      </c>
      <c r="C16" s="3">
        <v>0.30486111111111114</v>
      </c>
      <c r="D16" s="3">
        <v>0.52361111111111114</v>
      </c>
      <c r="E16" s="3">
        <v>0.57013888888888886</v>
      </c>
      <c r="F16" s="3">
        <v>0.74861111111111112</v>
      </c>
      <c r="G16" s="3">
        <v>0.36666666666666664</v>
      </c>
      <c r="H16" s="7">
        <f>((D16-C16)+(F16-E16))-Tabela1[[#This Row],[Expediente]]</f>
        <v>3.0555555555555614E-2</v>
      </c>
    </row>
    <row r="17" spans="1:8" x14ac:dyDescent="0.25">
      <c r="A17" s="2">
        <v>45674</v>
      </c>
      <c r="B17" s="4" t="str">
        <f t="shared" si="0"/>
        <v>sexta-feira</v>
      </c>
      <c r="C17" s="3">
        <v>0.30555555555555558</v>
      </c>
      <c r="D17" s="3">
        <v>0.52083333333333337</v>
      </c>
      <c r="E17" s="3">
        <v>0.57152777777777775</v>
      </c>
      <c r="F17" s="3">
        <v>0.76249999999999996</v>
      </c>
      <c r="G17" s="3">
        <v>0.36666666666666664</v>
      </c>
      <c r="H17" s="7">
        <f>((D17-C17)+(F17-E17))-Tabela1[[#This Row],[Expediente]]</f>
        <v>3.9583333333333359E-2</v>
      </c>
    </row>
    <row r="18" spans="1:8" x14ac:dyDescent="0.25">
      <c r="A18" s="2">
        <v>45677</v>
      </c>
      <c r="B18" s="4" t="str">
        <f t="shared" si="0"/>
        <v>segunda-feira</v>
      </c>
      <c r="C18" s="3">
        <v>0.28611111111111109</v>
      </c>
      <c r="D18" s="3">
        <v>0.52083333333333337</v>
      </c>
      <c r="E18" s="3">
        <v>0.57013888888888886</v>
      </c>
      <c r="F18" s="3">
        <v>0.74444444444444446</v>
      </c>
      <c r="G18" s="3">
        <v>0.36666666666666664</v>
      </c>
      <c r="H18" s="7">
        <f>((D18-C18)+(F18-E18))-Tabela1[[#This Row],[Expediente]]</f>
        <v>4.2361111111111238E-2</v>
      </c>
    </row>
    <row r="19" spans="1:8" x14ac:dyDescent="0.25">
      <c r="A19" s="2">
        <v>45678</v>
      </c>
      <c r="B19" s="4" t="str">
        <f t="shared" si="0"/>
        <v>terça-feira</v>
      </c>
      <c r="C19" s="3">
        <v>0.30555555555555558</v>
      </c>
      <c r="D19" s="3">
        <v>0.52569444444444446</v>
      </c>
      <c r="E19" s="3">
        <v>0.57222222222222219</v>
      </c>
      <c r="F19" s="3">
        <v>0.75763888888888886</v>
      </c>
      <c r="G19" s="3">
        <v>0.36666666666666664</v>
      </c>
      <c r="H19" s="7">
        <f>((D19-C19)+(F19-E19))-Tabela1[[#This Row],[Expediente]]</f>
        <v>3.8888888888888917E-2</v>
      </c>
    </row>
    <row r="20" spans="1:8" x14ac:dyDescent="0.25">
      <c r="A20" s="2">
        <v>45679</v>
      </c>
      <c r="B20" s="4" t="str">
        <f t="shared" si="0"/>
        <v>quarta-feira</v>
      </c>
      <c r="C20" s="3">
        <v>0.3034722222222222</v>
      </c>
      <c r="D20" s="3">
        <v>0.52500000000000002</v>
      </c>
      <c r="E20" s="3">
        <v>0.57222222222222219</v>
      </c>
      <c r="F20" s="3">
        <v>0.74930555555555556</v>
      </c>
      <c r="G20" s="3">
        <v>0.36666666666666664</v>
      </c>
      <c r="H20" s="7">
        <f>((D20-C20)+(F20-E20))-Tabela1[[#This Row],[Expediente]]</f>
        <v>3.1944444444444553E-2</v>
      </c>
    </row>
    <row r="21" spans="1:8" x14ac:dyDescent="0.25">
      <c r="A21" s="2">
        <v>45680</v>
      </c>
      <c r="B21" s="4" t="str">
        <f t="shared" si="0"/>
        <v>quinta-feira</v>
      </c>
      <c r="C21" s="3">
        <v>0.30694444444444446</v>
      </c>
      <c r="D21" s="3">
        <v>0.5229166666666667</v>
      </c>
      <c r="E21" s="3">
        <v>0.57152777777777775</v>
      </c>
      <c r="F21" s="3">
        <v>0.75416666666666665</v>
      </c>
      <c r="G21" s="3">
        <v>0.36666666666666664</v>
      </c>
      <c r="H21" s="7">
        <f>((D21-C21)+(F21-E21))-Tabela1[[#This Row],[Expediente]]</f>
        <v>3.1944444444444497E-2</v>
      </c>
    </row>
    <row r="22" spans="1:8" x14ac:dyDescent="0.25">
      <c r="A22" s="2">
        <v>45681</v>
      </c>
      <c r="B22" s="4" t="str">
        <f t="shared" si="0"/>
        <v>sexta-feira</v>
      </c>
      <c r="C22" s="3">
        <v>0.30972222222222223</v>
      </c>
      <c r="D22" s="3">
        <v>0.5229166666666667</v>
      </c>
      <c r="E22" s="3">
        <v>0.57847222222222228</v>
      </c>
      <c r="F22" s="3">
        <v>0.75069444444444444</v>
      </c>
      <c r="G22" s="3">
        <v>0.36666666666666664</v>
      </c>
      <c r="H22" s="7">
        <f>((D22-C22)+(F22-E22))-Tabela1[[#This Row],[Expediente]]</f>
        <v>1.8749999999999989E-2</v>
      </c>
    </row>
    <row r="23" spans="1:8" x14ac:dyDescent="0.25">
      <c r="A23" s="2">
        <v>45684</v>
      </c>
      <c r="B23" s="4" t="str">
        <f t="shared" si="0"/>
        <v>segunda-feira</v>
      </c>
      <c r="C23" s="3">
        <v>0.30763888888888891</v>
      </c>
      <c r="D23" s="3">
        <v>0.51388888888888884</v>
      </c>
      <c r="E23" s="3">
        <v>0.57152777777777775</v>
      </c>
      <c r="F23" s="3">
        <v>0.74930555555555556</v>
      </c>
      <c r="G23" s="3">
        <v>0.36666666666666664</v>
      </c>
      <c r="H23" s="7">
        <f>((D23-C23)+(F23-E23))-Tabela1[[#This Row],[Expediente]]</f>
        <v>1.7361111111111105E-2</v>
      </c>
    </row>
    <row r="24" spans="1:8" x14ac:dyDescent="0.25">
      <c r="A24" s="2">
        <v>45685</v>
      </c>
      <c r="B24" s="4" t="str">
        <f t="shared" si="0"/>
        <v>terça-feira</v>
      </c>
      <c r="C24" s="3">
        <v>0.30763888888888891</v>
      </c>
      <c r="D24" s="3">
        <v>0.52083333333333337</v>
      </c>
      <c r="E24" s="3">
        <v>0.57152777777777775</v>
      </c>
      <c r="F24" s="3">
        <v>0.74513888888888891</v>
      </c>
      <c r="G24" s="3">
        <v>0.36666666666666664</v>
      </c>
      <c r="H24" s="7">
        <f>((D24-C24)+(F24-E24))-Tabela1[[#This Row],[Expediente]]</f>
        <v>2.0138888888888984E-2</v>
      </c>
    </row>
    <row r="25" spans="1:8" x14ac:dyDescent="0.25">
      <c r="A25" s="2">
        <v>45686</v>
      </c>
      <c r="B25" s="4" t="str">
        <f t="shared" si="0"/>
        <v>quarta-feira</v>
      </c>
      <c r="C25" s="3">
        <v>0.29930555555555555</v>
      </c>
      <c r="D25" s="3">
        <v>0.52222222222222225</v>
      </c>
      <c r="E25" s="3">
        <v>0.57361111111111107</v>
      </c>
      <c r="F25" s="3">
        <v>0.75069444444444444</v>
      </c>
      <c r="G25" s="3">
        <v>0.36666666666666664</v>
      </c>
      <c r="H25" s="7">
        <f>((D25-C25)+(F25-E25))-Tabela1[[#This Row],[Expediente]]</f>
        <v>3.3333333333333437E-2</v>
      </c>
    </row>
    <row r="26" spans="1:8" x14ac:dyDescent="0.25">
      <c r="A26" s="2">
        <v>45687</v>
      </c>
      <c r="B26" s="4" t="str">
        <f t="shared" si="0"/>
        <v>quinta-feira</v>
      </c>
      <c r="C26" s="3">
        <v>0.30416666666666664</v>
      </c>
      <c r="D26" s="3">
        <v>0.52222222222222225</v>
      </c>
      <c r="E26" s="3">
        <v>0.57847222222222228</v>
      </c>
      <c r="F26" s="3">
        <v>0.74513888888888891</v>
      </c>
      <c r="G26" s="3">
        <v>0.36666666666666664</v>
      </c>
      <c r="H26" s="7">
        <f>((D26-C26)+(F26-E26))-Tabela1[[#This Row],[Expediente]]</f>
        <v>1.8055555555555602E-2</v>
      </c>
    </row>
    <row r="27" spans="1:8" x14ac:dyDescent="0.25">
      <c r="A27" s="2">
        <v>45688</v>
      </c>
      <c r="B27" s="4" t="str">
        <f t="shared" si="0"/>
        <v>sexta-feira</v>
      </c>
      <c r="C27" s="3">
        <v>0.3</v>
      </c>
      <c r="D27" s="3">
        <v>0.5229166666666667</v>
      </c>
      <c r="E27" s="3">
        <v>0.57847222222222228</v>
      </c>
      <c r="F27" s="3">
        <v>0.76875000000000004</v>
      </c>
      <c r="G27" s="3">
        <v>0.36666666666666664</v>
      </c>
      <c r="H27" s="7">
        <f>((D27-C27)+(F27-E27))-Tabela1[[#This Row],[Expediente]]</f>
        <v>4.6527777777777835E-2</v>
      </c>
    </row>
    <row r="28" spans="1:8" x14ac:dyDescent="0.25">
      <c r="A28" s="2">
        <v>45691</v>
      </c>
      <c r="B28" s="4" t="str">
        <f t="shared" si="0"/>
        <v>segunda-feira</v>
      </c>
      <c r="C28" s="3">
        <v>0.28819444444444442</v>
      </c>
      <c r="D28" s="3">
        <v>0.52986111111111112</v>
      </c>
      <c r="E28" s="3">
        <v>0.5756944444444444</v>
      </c>
      <c r="F28" s="3">
        <v>0.74861111111111112</v>
      </c>
      <c r="G28" s="3">
        <v>0.36666666666666664</v>
      </c>
      <c r="H28" s="7">
        <f>((D28-C28)+(F28-E28))-Tabela1[[#This Row],[Expediente]]</f>
        <v>4.7916666666666774E-2</v>
      </c>
    </row>
    <row r="29" spans="1:8" x14ac:dyDescent="0.25">
      <c r="A29" s="2">
        <v>45692</v>
      </c>
      <c r="B29" s="4" t="str">
        <f t="shared" si="0"/>
        <v>terça-feira</v>
      </c>
      <c r="C29" s="3">
        <v>0.3034722222222222</v>
      </c>
      <c r="D29" s="3">
        <v>0.52361111111111114</v>
      </c>
      <c r="E29" s="3">
        <v>0.57013888888888886</v>
      </c>
      <c r="F29" s="3">
        <v>0.74861111111111112</v>
      </c>
      <c r="G29" s="3">
        <v>0.36666666666666664</v>
      </c>
      <c r="H29" s="7">
        <f>((D29-C29)+(F29-E29))-Tabela1[[#This Row],[Expediente]]</f>
        <v>3.1944444444444553E-2</v>
      </c>
    </row>
    <row r="30" spans="1:8" x14ac:dyDescent="0.25">
      <c r="A30" s="2">
        <v>45693</v>
      </c>
      <c r="B30" s="4" t="str">
        <f t="shared" si="0"/>
        <v>quarta-feira</v>
      </c>
      <c r="C30" s="3">
        <v>0.30555555555555558</v>
      </c>
      <c r="D30" s="3">
        <v>0.52222222222222225</v>
      </c>
      <c r="E30" s="3">
        <v>0.57847222222222228</v>
      </c>
      <c r="F30" s="3">
        <v>0.7416666666666667</v>
      </c>
      <c r="G30" s="3">
        <v>0.36666666666666664</v>
      </c>
      <c r="H30" s="7">
        <f>((D30-C30)+(F30-E30))-Tabela1[[#This Row],[Expediente]]</f>
        <v>1.3194444444444453E-2</v>
      </c>
    </row>
    <row r="31" spans="1:8" x14ac:dyDescent="0.25">
      <c r="A31" s="2">
        <v>45694</v>
      </c>
      <c r="B31" s="4" t="str">
        <f t="shared" si="0"/>
        <v>quinta-feira</v>
      </c>
      <c r="C31" s="3">
        <v>0.30555555555555558</v>
      </c>
      <c r="D31" s="3">
        <v>0.49930555555555556</v>
      </c>
      <c r="E31" s="3">
        <v>0.55763888888888891</v>
      </c>
      <c r="F31" s="3">
        <v>0.74791666666666667</v>
      </c>
      <c r="G31" s="3">
        <v>0.36666666666666664</v>
      </c>
      <c r="H31" s="7">
        <f>((D31-C31)+(F31-E31))-Tabela1[[#This Row],[Expediente]]</f>
        <v>1.7361111111111105E-2</v>
      </c>
    </row>
    <row r="32" spans="1:8" x14ac:dyDescent="0.25">
      <c r="A32" s="2">
        <v>45695</v>
      </c>
      <c r="B32" s="4" t="str">
        <f t="shared" si="0"/>
        <v>sexta-feira</v>
      </c>
      <c r="C32" s="3">
        <v>0.29305555555555557</v>
      </c>
      <c r="D32" s="3">
        <v>0.52708333333333335</v>
      </c>
      <c r="E32" s="3">
        <v>0.58333333333333337</v>
      </c>
      <c r="F32" s="3">
        <v>0.7416666666666667</v>
      </c>
      <c r="G32" s="3">
        <v>0.36666666666666664</v>
      </c>
      <c r="H32" s="7">
        <f>((D32-C32)+(F32-E32))-Tabela1[[#This Row],[Expediente]]</f>
        <v>2.5694444444444464E-2</v>
      </c>
    </row>
    <row r="33" spans="1:8" x14ac:dyDescent="0.25">
      <c r="A33" s="2">
        <v>45696</v>
      </c>
      <c r="B33" s="4" t="str">
        <f t="shared" si="0"/>
        <v>sábado</v>
      </c>
      <c r="C33" s="3">
        <v>0.34375</v>
      </c>
      <c r="D33" s="3">
        <v>0.48472222222222222</v>
      </c>
      <c r="E33" s="3">
        <v>0</v>
      </c>
      <c r="F33" s="3">
        <v>0</v>
      </c>
      <c r="G33" s="3">
        <v>0.36666666666666664</v>
      </c>
      <c r="H33" s="7">
        <f>Tabela1[[#This Row],[Saída 1]]-Tabela1[[#This Row],[Entrada 1]]</f>
        <v>0.14097222222222222</v>
      </c>
    </row>
    <row r="34" spans="1:8" x14ac:dyDescent="0.25">
      <c r="A34" s="2">
        <v>45698</v>
      </c>
      <c r="B34" s="4" t="str">
        <f t="shared" si="0"/>
        <v>segunda-feira</v>
      </c>
      <c r="C34" s="3">
        <v>0.30069444444444443</v>
      </c>
      <c r="D34" s="3">
        <v>0.52083333333333337</v>
      </c>
      <c r="E34" s="3">
        <v>0.57222222222222219</v>
      </c>
      <c r="F34" s="3">
        <v>0.75486111111111109</v>
      </c>
      <c r="G34" s="3">
        <v>0.36666666666666664</v>
      </c>
      <c r="H34" s="7">
        <f>((D34-C34)+(F34-E34))-Tabela1[[#This Row],[Expediente]]</f>
        <v>3.6111111111111205E-2</v>
      </c>
    </row>
    <row r="35" spans="1:8" x14ac:dyDescent="0.25">
      <c r="A35" s="2">
        <v>45699</v>
      </c>
      <c r="B35" s="4" t="str">
        <f t="shared" si="0"/>
        <v>terça-feira</v>
      </c>
      <c r="C35" s="3">
        <v>0.32569444444444445</v>
      </c>
      <c r="D35" s="3">
        <v>0.52083333333333337</v>
      </c>
      <c r="E35" s="3">
        <v>0.56874999999999998</v>
      </c>
      <c r="F35" s="3">
        <v>0.75902777777777775</v>
      </c>
      <c r="G35" s="3">
        <v>0.36666666666666664</v>
      </c>
      <c r="H35" s="7">
        <f>((D35-C35)+(F35-E35))-Tabela1[[#This Row],[Expediente]]</f>
        <v>1.8750000000000044E-2</v>
      </c>
    </row>
    <row r="36" spans="1:8" x14ac:dyDescent="0.25">
      <c r="A36" s="2">
        <v>45700</v>
      </c>
      <c r="B36" s="4" t="str">
        <f t="shared" si="0"/>
        <v>quarta-feira</v>
      </c>
      <c r="C36" s="3">
        <v>0.29722222222222222</v>
      </c>
      <c r="D36" s="3">
        <v>0.52361111111111114</v>
      </c>
      <c r="E36" s="3">
        <v>0.57708333333333328</v>
      </c>
      <c r="F36" s="3">
        <v>0.75416666666666665</v>
      </c>
      <c r="G36" s="3">
        <v>0.36666666666666664</v>
      </c>
      <c r="H36" s="7">
        <f>((D36-C36)+(F36-E36))-Tabela1[[#This Row],[Expediente]]</f>
        <v>3.6805555555555647E-2</v>
      </c>
    </row>
    <row r="37" spans="1:8" x14ac:dyDescent="0.25">
      <c r="A37" s="2">
        <v>45701</v>
      </c>
      <c r="B37" s="4" t="str">
        <f t="shared" si="0"/>
        <v>quinta-feira</v>
      </c>
      <c r="C37" s="3">
        <v>0.30208333333333331</v>
      </c>
      <c r="D37" s="3">
        <v>0.52361111111111114</v>
      </c>
      <c r="E37" s="3">
        <v>0.57361111111111107</v>
      </c>
      <c r="F37" s="3">
        <v>0.75</v>
      </c>
      <c r="G37" s="3">
        <v>0.36666666666666664</v>
      </c>
      <c r="H37" s="7">
        <f>((D37-C37)+(F37-E37))-Tabela1[[#This Row],[Expediente]]</f>
        <v>3.1250000000000111E-2</v>
      </c>
    </row>
    <row r="38" spans="1:8" x14ac:dyDescent="0.25">
      <c r="A38" s="2">
        <v>45702</v>
      </c>
      <c r="B38" s="4" t="str">
        <f t="shared" si="0"/>
        <v>sexta-feira</v>
      </c>
      <c r="C38" s="3">
        <v>0.29583333333333334</v>
      </c>
      <c r="D38" s="3">
        <v>0.52500000000000002</v>
      </c>
      <c r="E38" s="3">
        <v>0.57361111111111107</v>
      </c>
      <c r="F38" s="3">
        <v>0.74236111111111114</v>
      </c>
      <c r="G38" s="3">
        <v>0.36666666666666664</v>
      </c>
      <c r="H38" s="7">
        <f>((D38-C38)+(F38-E38))-Tabela1[[#This Row],[Expediente]]</f>
        <v>3.1250000000000111E-2</v>
      </c>
    </row>
    <row r="39" spans="1:8" x14ac:dyDescent="0.25">
      <c r="A39" s="2">
        <v>45705</v>
      </c>
      <c r="B39" s="4" t="str">
        <f t="shared" si="0"/>
        <v>segunda-feira</v>
      </c>
      <c r="C39" s="3">
        <v>0.30069444444444443</v>
      </c>
      <c r="D39" s="3">
        <v>0.52777777777777779</v>
      </c>
      <c r="E39" s="3">
        <v>0.57222222222222219</v>
      </c>
      <c r="F39" s="3">
        <v>0.74236111111111114</v>
      </c>
      <c r="G39" s="3">
        <v>0.36666666666666664</v>
      </c>
      <c r="H39" s="7">
        <f>((D39-C39)+(F39-E39))-Tabela1[[#This Row],[Expediente]]</f>
        <v>3.0555555555555669E-2</v>
      </c>
    </row>
    <row r="40" spans="1:8" x14ac:dyDescent="0.25">
      <c r="A40" s="2">
        <v>45706</v>
      </c>
      <c r="B40" s="4" t="str">
        <f t="shared" si="0"/>
        <v>terça-feira</v>
      </c>
      <c r="C40" s="3">
        <v>0.3</v>
      </c>
      <c r="D40" s="3">
        <v>0.52708333333333335</v>
      </c>
      <c r="E40" s="3">
        <v>0.57361111111111107</v>
      </c>
      <c r="F40" s="3">
        <v>0.75694444444444442</v>
      </c>
      <c r="G40" s="3">
        <v>0.36666666666666664</v>
      </c>
      <c r="H40" s="7">
        <f>((D40-C40)+(F40-E40))-Tabela1[[#This Row],[Expediente]]</f>
        <v>4.3750000000000067E-2</v>
      </c>
    </row>
    <row r="41" spans="1:8" x14ac:dyDescent="0.25">
      <c r="A41" s="2">
        <v>45707</v>
      </c>
      <c r="B41" s="4" t="str">
        <f t="shared" si="0"/>
        <v>quarta-feira</v>
      </c>
      <c r="C41" s="3">
        <v>0.30416666666666664</v>
      </c>
      <c r="D41" s="3">
        <v>0.52152777777777781</v>
      </c>
      <c r="E41" s="3">
        <v>0.5708333333333333</v>
      </c>
      <c r="F41" s="3">
        <v>0.75277777777777777</v>
      </c>
      <c r="G41" s="3">
        <v>0.36666666666666664</v>
      </c>
      <c r="H41" s="7">
        <f>((D41-C41)+(F41-E41))-Tabela1[[#This Row],[Expediente]]</f>
        <v>3.2638888888888995E-2</v>
      </c>
    </row>
    <row r="42" spans="1:8" x14ac:dyDescent="0.25">
      <c r="A42" s="2">
        <v>45708</v>
      </c>
      <c r="B42" s="4" t="str">
        <f t="shared" si="0"/>
        <v>quinta-feira</v>
      </c>
      <c r="C42" s="3">
        <v>0.30972222222222223</v>
      </c>
      <c r="D42" s="3">
        <v>0.52222222222222225</v>
      </c>
      <c r="E42" s="3">
        <v>0.57152777777777775</v>
      </c>
      <c r="F42" s="3">
        <v>0.74027777777777781</v>
      </c>
      <c r="G42" s="3">
        <v>0.36666666666666664</v>
      </c>
      <c r="H42" s="7">
        <f>((D42-C42)+(F42-E42))-Tabela1[[#This Row],[Expediente]]</f>
        <v>1.4583333333333448E-2</v>
      </c>
    </row>
    <row r="43" spans="1:8" x14ac:dyDescent="0.25">
      <c r="A43" s="2">
        <v>45709</v>
      </c>
      <c r="B43" s="4" t="str">
        <f t="shared" si="0"/>
        <v>sexta-feira</v>
      </c>
      <c r="C43" s="3">
        <v>0.30416666666666664</v>
      </c>
      <c r="D43" s="3">
        <v>0.52222222222222225</v>
      </c>
      <c r="E43" s="3">
        <v>0.57013888888888886</v>
      </c>
      <c r="F43" s="3">
        <v>0.75347222222222221</v>
      </c>
      <c r="G43" s="3">
        <v>0.36666666666666664</v>
      </c>
      <c r="H43" s="7">
        <f>((D43-C43)+(F43-E43))-Tabela1[[#This Row],[Expediente]]</f>
        <v>3.4722222222222321E-2</v>
      </c>
    </row>
    <row r="44" spans="1:8" x14ac:dyDescent="0.25">
      <c r="A44" s="2">
        <v>45712</v>
      </c>
      <c r="B44" s="4" t="str">
        <f t="shared" ref="B44:B48" si="1">TEXT(A44,"dddd")</f>
        <v>segunda-feira</v>
      </c>
      <c r="C44" s="3">
        <v>0.30972222222222223</v>
      </c>
      <c r="D44" s="3">
        <v>0.52708333333333335</v>
      </c>
      <c r="E44" s="3">
        <v>0.57291666666666663</v>
      </c>
      <c r="F44" s="3">
        <v>0.79236111111111107</v>
      </c>
      <c r="G44" s="3">
        <v>0.36666666666666664</v>
      </c>
      <c r="H44" s="7">
        <f>((D44-C44)+(F44-E44))-Tabela1[[#This Row],[Expediente]]</f>
        <v>7.0138888888888917E-2</v>
      </c>
    </row>
    <row r="45" spans="1:8" x14ac:dyDescent="0.25">
      <c r="A45" s="2">
        <v>45713</v>
      </c>
      <c r="B45" s="4" t="str">
        <f t="shared" si="1"/>
        <v>terça-feira</v>
      </c>
      <c r="C45" s="3">
        <v>0.31111111111111112</v>
      </c>
      <c r="D45" s="3">
        <v>0.52777777777777779</v>
      </c>
      <c r="E45" s="3">
        <v>0.5708333333333333</v>
      </c>
      <c r="F45" s="3">
        <v>0.76875000000000004</v>
      </c>
      <c r="G45" s="3">
        <v>0.36666666666666664</v>
      </c>
      <c r="H45" s="7">
        <f>((D45-C45)+(F45-E45))-Tabela1[[#This Row],[Expediente]]</f>
        <v>4.7916666666666774E-2</v>
      </c>
    </row>
    <row r="46" spans="1:8" x14ac:dyDescent="0.25">
      <c r="A46" s="2">
        <v>45714</v>
      </c>
      <c r="B46" s="4" t="str">
        <f t="shared" si="1"/>
        <v>quarta-feira</v>
      </c>
      <c r="C46" s="3">
        <v>0.2951388888888889</v>
      </c>
      <c r="D46" s="3">
        <v>0.52013888888888893</v>
      </c>
      <c r="E46" s="3">
        <v>0.57916666666666672</v>
      </c>
      <c r="F46" s="3">
        <v>0.74027777777777781</v>
      </c>
      <c r="G46" s="3">
        <v>0.36666666666666664</v>
      </c>
      <c r="H46" s="7">
        <f>((D46-C46)+(F46-E46))-Tabela1[[#This Row],[Expediente]]</f>
        <v>1.9444444444444486E-2</v>
      </c>
    </row>
    <row r="47" spans="1:8" x14ac:dyDescent="0.25">
      <c r="A47" s="2">
        <v>45715</v>
      </c>
      <c r="B47" s="4" t="str">
        <f t="shared" si="1"/>
        <v>quinta-feira</v>
      </c>
      <c r="C47" s="3">
        <v>0.30555555555555558</v>
      </c>
      <c r="D47" s="3">
        <v>0.54166666666666663</v>
      </c>
      <c r="E47" s="3">
        <v>0.58958333333333335</v>
      </c>
      <c r="F47" s="3">
        <v>0.76527777777777772</v>
      </c>
      <c r="G47" s="3">
        <v>0.36666666666666664</v>
      </c>
      <c r="H47" s="7">
        <f>((D47-C47)+(F47-E47))-Tabela1[[#This Row],[Expediente]]</f>
        <v>4.5138888888888784E-2</v>
      </c>
    </row>
    <row r="48" spans="1:8" x14ac:dyDescent="0.25">
      <c r="A48" s="2">
        <v>45716</v>
      </c>
      <c r="B48" s="4" t="str">
        <f t="shared" si="1"/>
        <v>sexta-feira</v>
      </c>
      <c r="C48" s="3">
        <v>0.30208333333333331</v>
      </c>
      <c r="D48" s="3">
        <v>0.52083333333333337</v>
      </c>
      <c r="E48" s="3">
        <v>0.56736111111111109</v>
      </c>
      <c r="F48" s="3">
        <v>0.74027777777777781</v>
      </c>
      <c r="G48" s="3">
        <v>0.36666666666666664</v>
      </c>
      <c r="H48" s="7">
        <f>((D48-C48)+(F48-E48))-Tabela1[[#This Row],[Expediente]]</f>
        <v>2.5000000000000133E-2</v>
      </c>
    </row>
    <row r="49" spans="1:8" x14ac:dyDescent="0.25">
      <c r="A49" s="2">
        <v>45719</v>
      </c>
      <c r="B49" s="4" t="str">
        <f t="shared" ref="B49:B51" si="2">TEXT(A49,"dddd")</f>
        <v>segunda-feira</v>
      </c>
      <c r="C49" s="3">
        <v>0.30902777777777779</v>
      </c>
      <c r="D49" s="3">
        <v>0.52083333333333337</v>
      </c>
      <c r="E49" s="3">
        <v>0.57986111111111116</v>
      </c>
      <c r="F49" s="3">
        <v>0.7416666666666667</v>
      </c>
      <c r="G49" s="3">
        <v>0.36666666666666664</v>
      </c>
      <c r="H49" s="7">
        <f>((D49-C49)+(F49-E49))-Tabela1[[#This Row],[Expediente]]</f>
        <v>6.9444444444444753E-3</v>
      </c>
    </row>
    <row r="50" spans="1:8" x14ac:dyDescent="0.25">
      <c r="A50" s="2">
        <v>45720</v>
      </c>
      <c r="B50" s="4" t="str">
        <f t="shared" si="2"/>
        <v>terça-feira</v>
      </c>
      <c r="C50" s="3">
        <v>0.30902777777777779</v>
      </c>
      <c r="D50" s="3">
        <v>0.52083333333333337</v>
      </c>
      <c r="E50" s="3">
        <v>0.58194444444444449</v>
      </c>
      <c r="F50" s="3">
        <v>0.7416666666666667</v>
      </c>
      <c r="G50" s="3">
        <v>0.36666666666666664</v>
      </c>
      <c r="H50" s="7">
        <f>((D50-C50)+(F50-E50))-Tabela1[[#This Row],[Expediente]]</f>
        <v>4.8611111111111494E-3</v>
      </c>
    </row>
    <row r="51" spans="1:8" x14ac:dyDescent="0.25">
      <c r="A51" s="2">
        <v>45721</v>
      </c>
      <c r="B51" s="4" t="str">
        <f t="shared" si="2"/>
        <v>quarta-feira</v>
      </c>
      <c r="C51" s="3">
        <v>0.29236111111111113</v>
      </c>
      <c r="D51" s="3">
        <v>0.52013888888888893</v>
      </c>
      <c r="E51" s="3">
        <v>0.57361111111111107</v>
      </c>
      <c r="F51" s="3">
        <v>0.78194444444444444</v>
      </c>
      <c r="G51" s="3">
        <v>0.36666666666666664</v>
      </c>
      <c r="H51" s="7">
        <f>((D51-C51)+(F51-E51))-Tabela1[[#This Row],[Expediente]]</f>
        <v>6.9444444444444531E-2</v>
      </c>
    </row>
    <row r="52" spans="1:8" x14ac:dyDescent="0.25">
      <c r="A52" s="2">
        <v>45722</v>
      </c>
      <c r="B52" s="4" t="str">
        <f t="shared" ref="B52:B54" si="3">TEXT(A52,"dddd")</f>
        <v>quinta-feira</v>
      </c>
      <c r="C52" s="3">
        <v>0.29583333333333334</v>
      </c>
      <c r="D52" s="3">
        <v>0.52013888888888893</v>
      </c>
      <c r="E52" s="3">
        <v>0.56805555555555554</v>
      </c>
      <c r="F52" s="3">
        <v>0.77222222222222225</v>
      </c>
      <c r="G52" s="3">
        <v>0.36666666666666664</v>
      </c>
      <c r="H52" s="7">
        <f>((D52-C52)+(F52-E52))-Tabela1[[#This Row],[Expediente]]</f>
        <v>6.1805555555555669E-2</v>
      </c>
    </row>
    <row r="53" spans="1:8" x14ac:dyDescent="0.25">
      <c r="A53" s="2">
        <v>45723</v>
      </c>
      <c r="B53" s="4" t="str">
        <f t="shared" si="3"/>
        <v>sexta-feira</v>
      </c>
      <c r="C53" s="3">
        <v>0.28819444444444442</v>
      </c>
      <c r="D53" s="3">
        <v>0.52708333333333335</v>
      </c>
      <c r="E53" s="3">
        <v>0.57430555555555551</v>
      </c>
      <c r="F53" s="3">
        <v>0.74305555555555558</v>
      </c>
      <c r="G53" s="3">
        <v>0.36666666666666664</v>
      </c>
      <c r="H53" s="7">
        <f>((D53-C53)+(F53-E53))-Tabela1[[#This Row],[Expediente]]</f>
        <v>4.0972222222222354E-2</v>
      </c>
    </row>
    <row r="54" spans="1:8" x14ac:dyDescent="0.25">
      <c r="A54" s="2">
        <v>45726</v>
      </c>
      <c r="B54" s="4" t="str">
        <f t="shared" si="3"/>
        <v>segunda-feira</v>
      </c>
      <c r="C54" s="3">
        <v>0.2986111111111111</v>
      </c>
      <c r="D54" s="3">
        <v>0.52152777777777781</v>
      </c>
      <c r="E54" s="3">
        <v>0.56805555555555554</v>
      </c>
      <c r="F54" s="3">
        <v>0.74652777777777779</v>
      </c>
      <c r="G54" s="3">
        <v>0.36666666666666664</v>
      </c>
      <c r="H54" s="7">
        <f>((D54-C54)+(F54-E54))-Tabela1[[#This Row],[Expediente]]</f>
        <v>3.4722222222222321E-2</v>
      </c>
    </row>
    <row r="55" spans="1:8" x14ac:dyDescent="0.25">
      <c r="A55" s="2">
        <v>45727</v>
      </c>
      <c r="B55" s="4" t="str">
        <f t="shared" ref="B55:B58" si="4">TEXT(A55,"dddd")</f>
        <v>terça-feira</v>
      </c>
      <c r="C55" s="3">
        <v>0.29375000000000001</v>
      </c>
      <c r="D55" s="3">
        <v>0.52430555555555558</v>
      </c>
      <c r="E55" s="3">
        <v>0.57013888888888886</v>
      </c>
      <c r="F55" s="3">
        <v>0.75</v>
      </c>
      <c r="G55" s="3">
        <v>0.36666666666666664</v>
      </c>
      <c r="H55" s="7">
        <f>((D55-C55)+(F55-E55))-Tabela1[[#This Row],[Expediente]]</f>
        <v>4.3750000000000067E-2</v>
      </c>
    </row>
    <row r="56" spans="1:8" x14ac:dyDescent="0.25">
      <c r="A56" s="2">
        <v>45728</v>
      </c>
      <c r="B56" s="4" t="str">
        <f t="shared" si="4"/>
        <v>quarta-feira</v>
      </c>
      <c r="C56" s="3">
        <v>0.2986111111111111</v>
      </c>
      <c r="D56" s="3">
        <v>0.52430555555555558</v>
      </c>
      <c r="E56" s="3">
        <v>0.5708333333333333</v>
      </c>
      <c r="F56" s="3">
        <v>0.75208333333333333</v>
      </c>
      <c r="G56" s="3">
        <v>0.36666666666666664</v>
      </c>
      <c r="H56" s="7">
        <f>((D56-C56)+(F56-E56))-Tabela1[[#This Row],[Expediente]]</f>
        <v>4.0277777777777857E-2</v>
      </c>
    </row>
    <row r="57" spans="1:8" x14ac:dyDescent="0.25">
      <c r="A57" s="2">
        <v>45729</v>
      </c>
      <c r="B57" s="4" t="str">
        <f t="shared" si="4"/>
        <v>quinta-feira</v>
      </c>
      <c r="C57" s="3">
        <v>0.29375000000000001</v>
      </c>
      <c r="D57" s="3">
        <v>0.52152777777777781</v>
      </c>
      <c r="E57" s="3">
        <v>0.56736111111111109</v>
      </c>
      <c r="F57" s="3">
        <v>0.74791666666666667</v>
      </c>
      <c r="G57" s="3">
        <v>0.36666666666666664</v>
      </c>
      <c r="H57" s="7">
        <f>((D57-C57)+(F57-E57))-Tabela1[[#This Row],[Expediente]]</f>
        <v>4.1666666666666741E-2</v>
      </c>
    </row>
    <row r="58" spans="1:8" x14ac:dyDescent="0.25">
      <c r="A58" s="2">
        <v>45730</v>
      </c>
      <c r="B58" s="4" t="str">
        <f t="shared" si="4"/>
        <v>sexta-feira</v>
      </c>
      <c r="C58" s="3">
        <v>0.29722222222222222</v>
      </c>
      <c r="D58" s="3">
        <v>0.52083333333333337</v>
      </c>
      <c r="E58" s="3">
        <v>0.57291666666666663</v>
      </c>
      <c r="F58" s="3">
        <v>0.74444444444444446</v>
      </c>
      <c r="G58" s="3">
        <v>0.36666666666666664</v>
      </c>
      <c r="H58" s="7">
        <f>((D58-C58)+(F58-E58))-Tabela1[[#This Row],[Expediente]]</f>
        <v>2.8472222222222343E-2</v>
      </c>
    </row>
    <row r="59" spans="1:8" x14ac:dyDescent="0.25">
      <c r="A59" s="2">
        <v>45733</v>
      </c>
      <c r="B59" s="4" t="str">
        <f t="shared" ref="B59:B63" si="5">TEXT(A59,"dddd")</f>
        <v>segunda-feira</v>
      </c>
      <c r="C59" s="3">
        <v>0.29722222222222222</v>
      </c>
      <c r="D59" s="3">
        <v>0.50069444444444444</v>
      </c>
      <c r="E59" s="3">
        <v>0.5493055555555556</v>
      </c>
      <c r="F59" s="3">
        <v>0.76249999999999996</v>
      </c>
      <c r="G59" s="3">
        <v>0.36666666666666664</v>
      </c>
      <c r="H59" s="7">
        <f>((D59-C59)+(F59-E59))-Tabela1[[#This Row],[Expediente]]</f>
        <v>4.9999999999999933E-2</v>
      </c>
    </row>
    <row r="60" spans="1:8" x14ac:dyDescent="0.25">
      <c r="A60" s="2">
        <v>45734</v>
      </c>
      <c r="B60" s="4" t="str">
        <f t="shared" si="5"/>
        <v>terça-feira</v>
      </c>
      <c r="C60" s="3">
        <v>0.29652777777777778</v>
      </c>
      <c r="D60" s="3">
        <v>0.48541666666666666</v>
      </c>
      <c r="E60" s="3">
        <v>0.53680555555555554</v>
      </c>
      <c r="F60" s="3">
        <v>0.81319444444444444</v>
      </c>
      <c r="G60" s="3">
        <v>0.36666666666666664</v>
      </c>
      <c r="H60" s="7">
        <f>((D60-C60)+(F60-E60))-Tabela1[[#This Row],[Expediente]]</f>
        <v>9.8611111111111149E-2</v>
      </c>
    </row>
    <row r="61" spans="1:8" x14ac:dyDescent="0.25">
      <c r="A61" s="2">
        <v>45735</v>
      </c>
      <c r="B61" s="4" t="str">
        <f t="shared" si="5"/>
        <v>quarta-feira</v>
      </c>
      <c r="C61" s="3">
        <v>0.28749999999999998</v>
      </c>
      <c r="D61" s="3">
        <v>0.52083333333333337</v>
      </c>
      <c r="E61" s="3">
        <v>0.5854166666666667</v>
      </c>
      <c r="F61" s="3">
        <v>0.81597222222222221</v>
      </c>
      <c r="G61" s="3">
        <v>0.36666666666666664</v>
      </c>
      <c r="H61" s="7">
        <f>((D61-C61)+(F61-E61))-Tabela1[[#This Row],[Expediente]]</f>
        <v>9.7222222222222265E-2</v>
      </c>
    </row>
    <row r="62" spans="1:8" x14ac:dyDescent="0.25">
      <c r="A62" s="2">
        <v>45736</v>
      </c>
      <c r="B62" s="4" t="str">
        <f t="shared" si="5"/>
        <v>quinta-feira</v>
      </c>
      <c r="C62" s="3">
        <v>0.29166666666666669</v>
      </c>
      <c r="D62" s="3">
        <v>0.52500000000000002</v>
      </c>
      <c r="E62" s="3">
        <v>0.5708333333333333</v>
      </c>
      <c r="F62" s="3">
        <v>0.75069444444444444</v>
      </c>
      <c r="G62" s="3">
        <v>0.36666666666666664</v>
      </c>
      <c r="H62" s="7">
        <f>((D62-C62)+(F62-E62))-Tabela1[[#This Row],[Expediente]]</f>
        <v>4.6527777777777835E-2</v>
      </c>
    </row>
    <row r="63" spans="1:8" x14ac:dyDescent="0.25">
      <c r="A63" s="2">
        <v>45737</v>
      </c>
      <c r="B63" s="4" t="str">
        <f t="shared" si="5"/>
        <v>sexta-feira</v>
      </c>
      <c r="C63" s="3">
        <v>0.29652777777777778</v>
      </c>
      <c r="D63" s="3">
        <v>0.52013888888888893</v>
      </c>
      <c r="E63" s="3">
        <v>0.56527777777777777</v>
      </c>
      <c r="F63" s="3">
        <v>0.74652777777777779</v>
      </c>
      <c r="G63" s="3">
        <v>0.36666666666666664</v>
      </c>
      <c r="H63" s="7">
        <f>((D63-C63)+(F63-E63))-Tabela1[[#This Row],[Expediente]]</f>
        <v>3.8194444444444531E-2</v>
      </c>
    </row>
    <row r="64" spans="1:8" x14ac:dyDescent="0.25">
      <c r="A64" s="2">
        <v>45740</v>
      </c>
      <c r="B64" s="4" t="str">
        <f t="shared" ref="B64:B67" si="6">TEXT(A64,"dddd")</f>
        <v>segunda-feira</v>
      </c>
      <c r="C64" s="3">
        <v>0.29930555555555555</v>
      </c>
      <c r="D64" s="3">
        <v>0.52569444444444446</v>
      </c>
      <c r="E64" s="3">
        <v>0.56458333333333333</v>
      </c>
      <c r="F64" s="3">
        <v>0.75208333333333333</v>
      </c>
      <c r="G64" s="3">
        <v>0.36666666666666664</v>
      </c>
      <c r="H64" s="7">
        <f>((D64-C64)+(F64-E64))-Tabela1[[#This Row],[Expediente]]</f>
        <v>4.7222222222222276E-2</v>
      </c>
    </row>
    <row r="65" spans="1:8" x14ac:dyDescent="0.25">
      <c r="A65" s="2">
        <v>45741</v>
      </c>
      <c r="B65" s="4" t="str">
        <f t="shared" si="6"/>
        <v>terça-feira</v>
      </c>
      <c r="C65" s="3">
        <v>0.29305555555555557</v>
      </c>
      <c r="D65" s="3">
        <v>0.5229166666666667</v>
      </c>
      <c r="E65" s="3">
        <v>0.56874999999999998</v>
      </c>
      <c r="F65" s="3">
        <v>0.7583333333333333</v>
      </c>
      <c r="G65" s="3">
        <v>0.36666666666666664</v>
      </c>
      <c r="H65" s="7">
        <f>((D65-C65)+(F65-E65))-Tabela1[[#This Row],[Expediente]]</f>
        <v>5.2777777777777812E-2</v>
      </c>
    </row>
    <row r="66" spans="1:8" x14ac:dyDescent="0.25">
      <c r="A66" s="2">
        <v>45742</v>
      </c>
      <c r="B66" s="4" t="str">
        <f t="shared" si="6"/>
        <v>quarta-feira</v>
      </c>
      <c r="C66" s="3">
        <v>0.28888888888888886</v>
      </c>
      <c r="D66" s="3">
        <v>0.5180555555555556</v>
      </c>
      <c r="E66" s="3">
        <v>0.56388888888888888</v>
      </c>
      <c r="F66" s="3">
        <v>0.74652777777777779</v>
      </c>
      <c r="G66" s="3">
        <v>0.36666666666666664</v>
      </c>
      <c r="H66" s="7">
        <f>((D66-C66)+(F66-E66))-Tabela1[[#This Row],[Expediente]]</f>
        <v>4.5138888888889006E-2</v>
      </c>
    </row>
    <row r="67" spans="1:8" x14ac:dyDescent="0.25">
      <c r="A67" s="2">
        <v>45743</v>
      </c>
      <c r="B67" s="4" t="str">
        <f t="shared" si="6"/>
        <v>quinta-feira</v>
      </c>
      <c r="C67" s="3">
        <v>0.29444444444444445</v>
      </c>
      <c r="D67" s="3">
        <v>0.52083333333333337</v>
      </c>
      <c r="E67" s="3">
        <v>0.56319444444444444</v>
      </c>
      <c r="F67" s="3">
        <v>0.74930555555555556</v>
      </c>
      <c r="G67" s="3">
        <v>0.36666666666666664</v>
      </c>
      <c r="H67" s="7">
        <f>((D67-C67)+(F67-E67))-Tabela1[[#This Row],[Expediente]]</f>
        <v>4.5833333333333393E-2</v>
      </c>
    </row>
    <row r="68" spans="1:8" x14ac:dyDescent="0.25">
      <c r="A68" s="2">
        <v>45744</v>
      </c>
      <c r="B68" s="4" t="str">
        <f t="shared" ref="B68:B69" si="7">TEXT(A68,"dddd")</f>
        <v>sexta-feira</v>
      </c>
      <c r="C68" s="3">
        <v>0.29791666666666666</v>
      </c>
      <c r="D68" s="3">
        <v>0.52152777777777781</v>
      </c>
      <c r="E68" s="3">
        <v>0.57152777777777775</v>
      </c>
      <c r="F68" s="3">
        <v>0.74861111111111112</v>
      </c>
      <c r="G68" s="3">
        <v>0.36666666666666664</v>
      </c>
      <c r="H68" s="7">
        <f>((D68-C68)+(F68-E68))-Tabela1[[#This Row],[Expediente]]</f>
        <v>3.4027777777777879E-2</v>
      </c>
    </row>
    <row r="69" spans="1:8" x14ac:dyDescent="0.25">
      <c r="A69" s="2">
        <v>45747</v>
      </c>
      <c r="B69" s="4" t="str">
        <f t="shared" si="7"/>
        <v>segunda-feira</v>
      </c>
      <c r="C69" s="3">
        <v>0.30138888888888887</v>
      </c>
      <c r="D69" s="3">
        <v>0.51944444444444449</v>
      </c>
      <c r="E69" s="3">
        <v>0.57361111111111107</v>
      </c>
      <c r="F69" s="3">
        <v>0.74027777777777781</v>
      </c>
      <c r="G69" s="3">
        <v>0.36666666666666664</v>
      </c>
      <c r="H69" s="7">
        <f>((D69-C69)+(F69-E69))-Tabela1[[#This Row],[Expediente]]</f>
        <v>1.8055555555555713E-2</v>
      </c>
    </row>
    <row r="70" spans="1:8" x14ac:dyDescent="0.25">
      <c r="A70" s="2">
        <v>45748</v>
      </c>
      <c r="B70" s="4" t="str">
        <f t="shared" ref="B70:B73" si="8">TEXT(A70,"dddd")</f>
        <v>terça-feira</v>
      </c>
      <c r="C70" s="3">
        <v>0.29583333333333334</v>
      </c>
      <c r="D70" s="3">
        <v>0.52430555555555558</v>
      </c>
      <c r="E70" s="3">
        <v>0.57222222222222219</v>
      </c>
      <c r="F70" s="3">
        <v>0.78680555555555554</v>
      </c>
      <c r="G70" s="3">
        <v>0.36666666666666664</v>
      </c>
      <c r="H70" s="7">
        <f>((D70-C70)+(F70-E70))-Tabela1[[#This Row],[Expediente]]</f>
        <v>7.6388888888888951E-2</v>
      </c>
    </row>
    <row r="71" spans="1:8" x14ac:dyDescent="0.25">
      <c r="A71" s="2">
        <v>45749</v>
      </c>
      <c r="B71" s="4" t="str">
        <f t="shared" si="8"/>
        <v>quarta-feira</v>
      </c>
      <c r="C71" s="3">
        <v>0.30625000000000002</v>
      </c>
      <c r="D71" s="3">
        <v>0.51527777777777772</v>
      </c>
      <c r="E71" s="3">
        <v>0.56111111111111112</v>
      </c>
      <c r="F71" s="3">
        <v>0.74722222222222223</v>
      </c>
      <c r="G71" s="3">
        <v>0.36666666666666664</v>
      </c>
      <c r="H71" s="7">
        <f>((D71-C71)+(F71-E71))-Tabela1[[#This Row],[Expediente]]</f>
        <v>2.8472222222222177E-2</v>
      </c>
    </row>
    <row r="72" spans="1:8" x14ac:dyDescent="0.25">
      <c r="A72" s="2">
        <v>45750</v>
      </c>
      <c r="B72" s="4" t="str">
        <f t="shared" si="8"/>
        <v>quinta-feira</v>
      </c>
      <c r="C72" s="3">
        <v>0.29444444444444445</v>
      </c>
      <c r="D72" s="3">
        <v>0.52013888888888893</v>
      </c>
      <c r="E72" s="3">
        <v>0.56458333333333333</v>
      </c>
      <c r="F72" s="3">
        <v>0.74861111111111112</v>
      </c>
      <c r="G72" s="3">
        <v>0.36666666666666664</v>
      </c>
      <c r="H72" s="7">
        <f>((D72-C72)+(F72-E72))-Tabela1[[#This Row],[Expediente]]</f>
        <v>4.3055555555555625E-2</v>
      </c>
    </row>
    <row r="73" spans="1:8" x14ac:dyDescent="0.25">
      <c r="A73" s="2">
        <v>45751</v>
      </c>
      <c r="B73" s="4" t="str">
        <f t="shared" si="8"/>
        <v>sexta-feira</v>
      </c>
      <c r="C73" s="3">
        <v>0.2951388888888889</v>
      </c>
      <c r="D73" s="3">
        <v>0.5229166666666667</v>
      </c>
      <c r="E73" s="3">
        <v>0.57013888888888886</v>
      </c>
      <c r="F73" s="3">
        <v>0.73958333333333337</v>
      </c>
      <c r="G73" s="3">
        <v>0.36666666666666664</v>
      </c>
      <c r="H73" s="7">
        <f>((D73-C73)+(F73-E73))-Tabela1[[#This Row],[Expediente]]</f>
        <v>3.0555555555555669E-2</v>
      </c>
    </row>
    <row r="74" spans="1:8" x14ac:dyDescent="0.25">
      <c r="A74" s="2">
        <v>45754</v>
      </c>
      <c r="B74" s="4" t="str">
        <f t="shared" ref="B74:B75" si="9">TEXT(A74,"dddd")</f>
        <v>segunda-feira</v>
      </c>
      <c r="C74" s="3">
        <v>0.3034722222222222</v>
      </c>
      <c r="D74" s="3">
        <v>0.5229166666666667</v>
      </c>
      <c r="E74" s="3">
        <v>0.56944444444444442</v>
      </c>
      <c r="F74" s="3">
        <v>0.77361111111111114</v>
      </c>
      <c r="G74" s="3">
        <v>0.36666666666666664</v>
      </c>
      <c r="H74" s="7">
        <f>((D74-C74)+(F74-E74))-Tabela1[[#This Row],[Expediente]]</f>
        <v>5.6944444444444575E-2</v>
      </c>
    </row>
    <row r="75" spans="1:8" x14ac:dyDescent="0.25">
      <c r="A75" s="2">
        <v>45755</v>
      </c>
      <c r="B75" s="4" t="str">
        <f t="shared" si="9"/>
        <v>terça-feira</v>
      </c>
      <c r="C75" s="3">
        <v>0.29444444444444445</v>
      </c>
      <c r="D75" s="3">
        <v>0.5229166666666667</v>
      </c>
      <c r="E75" s="3">
        <v>0.57361111111111107</v>
      </c>
      <c r="F75" s="3">
        <v>0.75277777777777777</v>
      </c>
      <c r="G75" s="3">
        <v>0.36666666666666664</v>
      </c>
      <c r="H75" s="7">
        <f>((D75-C75)+(F75-E75))-Tabela1[[#This Row],[Expediente]]</f>
        <v>4.0972222222222299E-2</v>
      </c>
    </row>
    <row r="76" spans="1:8" x14ac:dyDescent="0.25">
      <c r="A76" s="2">
        <v>45756</v>
      </c>
      <c r="B76" s="4" t="str">
        <f t="shared" ref="B76:B78" si="10">TEXT(A76,"dddd")</f>
        <v>quarta-feira</v>
      </c>
      <c r="C76" s="3">
        <v>0.30416666666666664</v>
      </c>
      <c r="D76" s="3">
        <v>0.52152777777777781</v>
      </c>
      <c r="E76" s="3">
        <v>0.56944444444444442</v>
      </c>
      <c r="F76" s="3">
        <v>0.74930555555555556</v>
      </c>
      <c r="G76" s="3">
        <v>0.36666666666666664</v>
      </c>
      <c r="H76" s="7">
        <f>((D76-C76)+(F76-E76))-Tabela1[[#This Row],[Expediente]]</f>
        <v>3.0555555555555669E-2</v>
      </c>
    </row>
    <row r="77" spans="1:8" x14ac:dyDescent="0.25">
      <c r="A77" s="2">
        <v>45757</v>
      </c>
      <c r="B77" s="4" t="str">
        <f t="shared" si="10"/>
        <v>quinta-feira</v>
      </c>
      <c r="C77" s="3">
        <v>0.3034722222222222</v>
      </c>
      <c r="D77" s="3">
        <v>0.52152777777777781</v>
      </c>
      <c r="E77" s="3">
        <v>0.56805555555555554</v>
      </c>
      <c r="F77" s="3">
        <v>0.74236111111111114</v>
      </c>
      <c r="G77" s="3">
        <v>0.36666666666666664</v>
      </c>
      <c r="H77" s="7">
        <f>((D77-C77)+(F77-E77))-Tabela1[[#This Row],[Expediente]]</f>
        <v>2.5694444444444575E-2</v>
      </c>
    </row>
    <row r="78" spans="1:8" x14ac:dyDescent="0.25">
      <c r="A78" s="2">
        <v>45758</v>
      </c>
      <c r="B78" s="4" t="str">
        <f t="shared" si="10"/>
        <v>sexta-feira</v>
      </c>
      <c r="C78" s="3">
        <v>0.2951388888888889</v>
      </c>
      <c r="D78" s="3">
        <v>0.52152777777777781</v>
      </c>
      <c r="E78" s="3">
        <v>0.56458333333333333</v>
      </c>
      <c r="F78" s="3">
        <v>0.74583333333333335</v>
      </c>
      <c r="G78" s="3">
        <v>0.36666666666666664</v>
      </c>
      <c r="H78" s="7">
        <f>((D78-C78)+(F78-E78))-Tabela1[[#This Row],[Expediente]]</f>
        <v>4.0972222222222299E-2</v>
      </c>
    </row>
    <row r="79" spans="1:8" x14ac:dyDescent="0.25">
      <c r="A79" s="2">
        <v>45761</v>
      </c>
      <c r="B79" s="4" t="str">
        <f t="shared" ref="B79:B81" si="11">TEXT(A79,"dddd")</f>
        <v>segunda-feira</v>
      </c>
      <c r="C79" s="3">
        <v>0.29444444444444445</v>
      </c>
      <c r="D79" s="3">
        <v>0.52777777777777779</v>
      </c>
      <c r="E79" s="3">
        <v>0.55763888888888891</v>
      </c>
      <c r="F79" s="3">
        <v>0.74305555555555558</v>
      </c>
      <c r="G79" s="3">
        <v>0.36666666666666664</v>
      </c>
      <c r="H79" s="7">
        <f>((D79-C79)+(F79-E79))-Tabela1[[#This Row],[Expediente]]</f>
        <v>5.208333333333337E-2</v>
      </c>
    </row>
    <row r="80" spans="1:8" x14ac:dyDescent="0.25">
      <c r="A80" s="2">
        <v>45762</v>
      </c>
      <c r="B80" s="4" t="str">
        <f t="shared" si="11"/>
        <v>terça-feira</v>
      </c>
      <c r="C80" s="3">
        <v>0.29930555555555555</v>
      </c>
      <c r="D80" s="3">
        <v>0.5229166666666667</v>
      </c>
      <c r="E80" s="3">
        <v>0.56527777777777777</v>
      </c>
      <c r="F80" s="3">
        <v>0.74513888888888891</v>
      </c>
      <c r="G80" s="3">
        <v>0.36666666666666664</v>
      </c>
      <c r="H80" s="7">
        <f>((D80-C80)+(F80-E80))-Tabela1[[#This Row],[Expediente]]</f>
        <v>3.6805555555555647E-2</v>
      </c>
    </row>
    <row r="81" spans="1:8" x14ac:dyDescent="0.25">
      <c r="A81" s="2">
        <v>45763</v>
      </c>
      <c r="B81" s="4" t="str">
        <f t="shared" si="11"/>
        <v>quarta-feira</v>
      </c>
      <c r="C81" s="3">
        <v>0.28958333333333336</v>
      </c>
      <c r="D81" s="3">
        <v>0.51875000000000004</v>
      </c>
      <c r="E81" s="3">
        <v>0.5805555555555556</v>
      </c>
      <c r="F81" s="3">
        <v>0.77083333333333337</v>
      </c>
      <c r="G81" s="3">
        <v>0.36666666666666664</v>
      </c>
      <c r="H81" s="7">
        <f>((D81-C81)+(F81-E81))-Tabela1[[#This Row],[Expediente]]</f>
        <v>5.2777777777777812E-2</v>
      </c>
    </row>
    <row r="82" spans="1:8" x14ac:dyDescent="0.25">
      <c r="A82" s="2">
        <v>45764</v>
      </c>
      <c r="B82" s="4" t="str">
        <f t="shared" ref="B82:B85" si="12">TEXT(A82,"dddd")</f>
        <v>quinta-feira</v>
      </c>
      <c r="C82" s="3">
        <v>0.30069444444444443</v>
      </c>
      <c r="D82" s="3">
        <v>0.51944444444444449</v>
      </c>
      <c r="E82" s="3">
        <v>0.57222222222222219</v>
      </c>
      <c r="F82" s="3">
        <v>0.75208333333333333</v>
      </c>
      <c r="G82" s="3">
        <v>0.36666666666666664</v>
      </c>
      <c r="H82" s="7">
        <f>((D82-C82)+(F82-E82))-Tabela1[[#This Row],[Expediente]]</f>
        <v>3.1944444444444553E-2</v>
      </c>
    </row>
    <row r="83" spans="1:8" x14ac:dyDescent="0.25">
      <c r="A83" s="2">
        <v>45765</v>
      </c>
      <c r="B83" s="4" t="str">
        <f t="shared" si="12"/>
        <v>sexta-feira</v>
      </c>
      <c r="C83" s="3">
        <v>0.30069444444444443</v>
      </c>
      <c r="D83" s="3">
        <v>0.53749999999999998</v>
      </c>
      <c r="E83" s="3">
        <v>0.58125000000000004</v>
      </c>
      <c r="F83" s="3">
        <v>0.77361111111111114</v>
      </c>
      <c r="G83" s="3">
        <v>0.36666666666666664</v>
      </c>
      <c r="H83" s="7">
        <f>((D83-C83)+(F83-E83))-Tabela1[[#This Row],[Expediente]]</f>
        <v>6.25E-2</v>
      </c>
    </row>
    <row r="84" spans="1:8" x14ac:dyDescent="0.25">
      <c r="A84" s="2">
        <v>45768</v>
      </c>
      <c r="B84" s="4" t="str">
        <f t="shared" si="12"/>
        <v>segunda-feira</v>
      </c>
      <c r="C84" s="3">
        <v>0.31111111111111112</v>
      </c>
      <c r="D84" s="3">
        <v>0.52222222222222225</v>
      </c>
      <c r="E84" s="3">
        <v>0.57638888888888884</v>
      </c>
      <c r="F84" s="3">
        <v>0.7416666666666667</v>
      </c>
      <c r="G84" s="3">
        <v>0.36666666666666664</v>
      </c>
      <c r="H84" s="7">
        <f>((D84-C84)+(F84-E84))-Tabela1[[#This Row],[Expediente]]</f>
        <v>9.7222222222223542E-3</v>
      </c>
    </row>
    <row r="85" spans="1:8" x14ac:dyDescent="0.25">
      <c r="A85" s="2">
        <v>45769</v>
      </c>
      <c r="B85" s="4" t="str">
        <f t="shared" si="12"/>
        <v>terça-feira</v>
      </c>
      <c r="C85" s="3">
        <v>0.31111111111111112</v>
      </c>
      <c r="D85" s="3">
        <v>0.52083333333333337</v>
      </c>
      <c r="E85" s="3">
        <v>0.57499999999999996</v>
      </c>
      <c r="F85" s="3">
        <v>0.7416666666666667</v>
      </c>
      <c r="G85" s="3">
        <v>0.36666666666666664</v>
      </c>
      <c r="H85" s="7">
        <f>((D85-C85)+(F85-E85))-Tabela1[[#This Row],[Expediente]]</f>
        <v>9.7222222222223542E-3</v>
      </c>
    </row>
    <row r="86" spans="1:8" x14ac:dyDescent="0.25">
      <c r="A86" s="2">
        <v>45770</v>
      </c>
      <c r="B86" s="4" t="str">
        <f t="shared" ref="B86:B149" si="13">TEXT(A86,"dddd")</f>
        <v>quarta-feira</v>
      </c>
      <c r="C86" s="3">
        <v>0.29791666666666666</v>
      </c>
      <c r="D86" s="3">
        <v>0.52777777777777779</v>
      </c>
      <c r="E86" s="3">
        <v>0.56805555555555554</v>
      </c>
      <c r="F86" s="3">
        <v>0.75972222222222219</v>
      </c>
      <c r="G86" s="3">
        <v>0.36666666666666664</v>
      </c>
      <c r="H86" s="7">
        <f>((D86-C86)+(F86-E86))-Tabela1[[#This Row],[Expediente]]</f>
        <v>5.4861111111111138E-2</v>
      </c>
    </row>
    <row r="87" spans="1:8" x14ac:dyDescent="0.25">
      <c r="A87" s="2">
        <v>45771</v>
      </c>
      <c r="B87" s="4" t="str">
        <f t="shared" si="13"/>
        <v>quinta-feira</v>
      </c>
      <c r="C87" s="3">
        <v>0.31041666666666667</v>
      </c>
      <c r="D87" s="3">
        <v>0.53263888888888888</v>
      </c>
      <c r="E87" s="3">
        <v>0.58472222222222225</v>
      </c>
      <c r="F87" s="3">
        <v>0.80833333333333335</v>
      </c>
      <c r="G87" s="3">
        <v>0.36666666666666664</v>
      </c>
      <c r="H87" s="7">
        <f>((D87-C87)+(F87-E87))-Tabela1[[#This Row],[Expediente]]</f>
        <v>7.9166666666666663E-2</v>
      </c>
    </row>
    <row r="88" spans="1:8" x14ac:dyDescent="0.25">
      <c r="A88" s="2">
        <v>45772</v>
      </c>
      <c r="B88" s="4" t="str">
        <f t="shared" si="13"/>
        <v>sexta-feira</v>
      </c>
      <c r="C88" s="3">
        <v>0.30833333333333335</v>
      </c>
      <c r="D88" s="3">
        <v>0.52638888888888891</v>
      </c>
      <c r="E88" s="3">
        <v>0.57291666666666663</v>
      </c>
      <c r="F88" s="3">
        <v>0.75486111111111109</v>
      </c>
      <c r="G88" s="3">
        <v>0.36666666666666664</v>
      </c>
      <c r="H88" s="7">
        <f>((D88-C88)+(F88-E88))-Tabela1[[#This Row],[Expediente]]</f>
        <v>3.3333333333333381E-2</v>
      </c>
    </row>
    <row r="89" spans="1:8" x14ac:dyDescent="0.25">
      <c r="A89" s="2">
        <v>45773</v>
      </c>
      <c r="B89" s="4" t="str">
        <f t="shared" si="13"/>
        <v>sábado</v>
      </c>
      <c r="C89" s="3">
        <v>0</v>
      </c>
      <c r="D89" s="3">
        <v>0</v>
      </c>
      <c r="E89" s="3">
        <v>0</v>
      </c>
      <c r="F89" s="3">
        <v>0</v>
      </c>
      <c r="G89" s="3">
        <v>0</v>
      </c>
      <c r="H89" s="7">
        <f>((D89-C89)+(F89-E89))-Tabela1[[#This Row],[Expediente]]</f>
        <v>0</v>
      </c>
    </row>
    <row r="90" spans="1:8" x14ac:dyDescent="0.25">
      <c r="A90" s="2">
        <v>45774</v>
      </c>
      <c r="B90" s="4" t="str">
        <f t="shared" si="13"/>
        <v>domingo</v>
      </c>
      <c r="C90" s="3">
        <v>0</v>
      </c>
      <c r="D90" s="3">
        <v>0</v>
      </c>
      <c r="E90" s="3">
        <v>0</v>
      </c>
      <c r="F90" s="3">
        <v>0</v>
      </c>
      <c r="G90" s="3">
        <v>0</v>
      </c>
      <c r="H90" s="7">
        <f>((D90-C90)+(F90-E90))-Tabela1[[#This Row],[Expediente]]</f>
        <v>0</v>
      </c>
    </row>
    <row r="91" spans="1:8" x14ac:dyDescent="0.25">
      <c r="A91" s="2">
        <v>45775</v>
      </c>
      <c r="B91" s="4" t="str">
        <f t="shared" si="13"/>
        <v>segunda-feira</v>
      </c>
      <c r="C91" s="3">
        <v>0.29722222222222222</v>
      </c>
      <c r="D91" s="3">
        <v>0.52083333333333337</v>
      </c>
      <c r="E91" s="3">
        <v>0.56458333333333333</v>
      </c>
      <c r="F91" s="3">
        <v>0.74444444444444446</v>
      </c>
      <c r="G91" s="3">
        <v>0.36666666666666664</v>
      </c>
      <c r="H91" s="7">
        <f>((D91-C91)+(F91-E91))-Tabela1[[#This Row],[Expediente]]</f>
        <v>3.6805555555555647E-2</v>
      </c>
    </row>
    <row r="92" spans="1:8" x14ac:dyDescent="0.25">
      <c r="A92" s="2">
        <v>45776</v>
      </c>
      <c r="B92" s="4" t="str">
        <f t="shared" si="13"/>
        <v>terça-feira</v>
      </c>
      <c r="C92" s="3">
        <v>0.29652777777777778</v>
      </c>
      <c r="D92" s="3">
        <v>0.53333333333333333</v>
      </c>
      <c r="E92" s="3">
        <v>0.5805555555555556</v>
      </c>
      <c r="F92" s="3">
        <v>0.74375000000000002</v>
      </c>
      <c r="G92" s="3">
        <v>0.36666666666666664</v>
      </c>
      <c r="H92" s="7">
        <f>((D92-C92)+(F92-E92))-Tabela1[[#This Row],[Expediente]]</f>
        <v>3.3333333333333326E-2</v>
      </c>
    </row>
    <row r="93" spans="1:8" x14ac:dyDescent="0.25">
      <c r="A93" s="2">
        <v>45777</v>
      </c>
      <c r="B93" s="4" t="str">
        <f t="shared" si="13"/>
        <v>quarta-feira</v>
      </c>
      <c r="C93" s="3">
        <v>0.2902777777777778</v>
      </c>
      <c r="D93" s="3">
        <v>0.52500000000000002</v>
      </c>
      <c r="E93" s="3">
        <v>0.56666666666666665</v>
      </c>
      <c r="F93" s="3">
        <v>0.74652777777777779</v>
      </c>
      <c r="G93" s="3">
        <v>0.36666666666666664</v>
      </c>
      <c r="H93" s="7">
        <f>((D93-C93)+(F93-E93))-Tabela1[[#This Row],[Expediente]]</f>
        <v>4.7916666666666718E-2</v>
      </c>
    </row>
    <row r="94" spans="1:8" x14ac:dyDescent="0.25">
      <c r="A94" s="2">
        <v>45778</v>
      </c>
      <c r="B94" s="4" t="str">
        <f t="shared" si="13"/>
        <v>quinta-feira</v>
      </c>
      <c r="C94" s="3">
        <v>0</v>
      </c>
      <c r="D94" s="3">
        <v>0</v>
      </c>
      <c r="E94" s="3">
        <v>0</v>
      </c>
      <c r="F94" s="3">
        <v>0</v>
      </c>
      <c r="G94" s="3">
        <v>0</v>
      </c>
      <c r="H94" s="7">
        <f>((D94-C94)+(F94-E94))-Tabela1[[#This Row],[Expediente]]</f>
        <v>0</v>
      </c>
    </row>
    <row r="95" spans="1:8" x14ac:dyDescent="0.25">
      <c r="A95" s="2">
        <v>45779</v>
      </c>
      <c r="B95" s="4" t="str">
        <f t="shared" si="13"/>
        <v>sexta-feira</v>
      </c>
      <c r="C95" s="3">
        <v>0.30416666666666664</v>
      </c>
      <c r="D95" s="3">
        <v>0.52708333333333335</v>
      </c>
      <c r="E95" s="3">
        <v>0.5708333333333333</v>
      </c>
      <c r="F95" s="3">
        <v>0.75555555555555554</v>
      </c>
      <c r="G95" s="3">
        <v>0.36666666666666664</v>
      </c>
      <c r="H95" s="7">
        <f>((D95-C95)+(F95-E95))-Tabela1[[#This Row],[Expediente]]</f>
        <v>4.0972222222222299E-2</v>
      </c>
    </row>
    <row r="96" spans="1:8" x14ac:dyDescent="0.25">
      <c r="A96" s="2">
        <v>45780</v>
      </c>
      <c r="B96" s="4" t="str">
        <f t="shared" si="13"/>
        <v>sábado</v>
      </c>
      <c r="C96" s="3">
        <v>0.42083333333333334</v>
      </c>
      <c r="D96" s="3">
        <v>0.52777777777777779</v>
      </c>
      <c r="E96" s="3">
        <v>0</v>
      </c>
      <c r="F96" s="3">
        <v>0</v>
      </c>
      <c r="G96" s="3">
        <v>0</v>
      </c>
      <c r="H96" s="7">
        <f>((D96-C96)+(F96-E96))-Tabela1[[#This Row],[Expediente]]</f>
        <v>0.10694444444444445</v>
      </c>
    </row>
    <row r="97" spans="1:8" x14ac:dyDescent="0.25">
      <c r="A97" s="2">
        <v>45781</v>
      </c>
      <c r="B97" s="4" t="str">
        <f t="shared" si="13"/>
        <v>domingo</v>
      </c>
      <c r="C97" s="3">
        <v>0.29166666666666669</v>
      </c>
      <c r="D97" s="3">
        <v>0.35416666666666669</v>
      </c>
      <c r="E97" s="3">
        <v>0.39583333333333331</v>
      </c>
      <c r="F97" s="3">
        <v>0.44791666666666669</v>
      </c>
      <c r="G97" s="3">
        <v>0</v>
      </c>
      <c r="H97" s="7">
        <f>((D97-C97)+(F97-E97))-Tabela1[[#This Row],[Expediente]]</f>
        <v>0.11458333333333337</v>
      </c>
    </row>
    <row r="98" spans="1:8" x14ac:dyDescent="0.25">
      <c r="A98" s="2">
        <v>45782</v>
      </c>
      <c r="B98" s="4" t="str">
        <f t="shared" si="13"/>
        <v>segunda-feira</v>
      </c>
      <c r="C98" s="3">
        <v>0.30833333333333335</v>
      </c>
      <c r="D98" s="3">
        <v>0.52152777777777781</v>
      </c>
      <c r="E98" s="3">
        <v>0.56041666666666667</v>
      </c>
      <c r="F98" s="3">
        <v>0.7583333333333333</v>
      </c>
      <c r="G98" s="3">
        <v>0.36666666666666664</v>
      </c>
      <c r="H98" s="7">
        <f>((D98-C98)+(F98-E98))-Tabela1[[#This Row],[Expediente]]</f>
        <v>4.4444444444444453E-2</v>
      </c>
    </row>
    <row r="99" spans="1:8" x14ac:dyDescent="0.25">
      <c r="A99" s="2">
        <v>45783</v>
      </c>
      <c r="B99" s="4" t="str">
        <f t="shared" si="13"/>
        <v>terça-feira</v>
      </c>
      <c r="C99" s="3">
        <v>0.28819444444444442</v>
      </c>
      <c r="D99" s="3">
        <v>0.52638888888888891</v>
      </c>
      <c r="E99" s="3">
        <v>0.57222222222222219</v>
      </c>
      <c r="F99" s="3">
        <v>0.75972222222222219</v>
      </c>
      <c r="G99" s="3">
        <v>0.36666666666666664</v>
      </c>
      <c r="H99" s="7">
        <f>((D99-C99)+(F99-E99))-Tabela1[[#This Row],[Expediente]]</f>
        <v>5.9027777777777846E-2</v>
      </c>
    </row>
    <row r="100" spans="1:8" x14ac:dyDescent="0.25">
      <c r="A100" s="2">
        <v>45784</v>
      </c>
      <c r="B100" s="4" t="str">
        <f t="shared" si="13"/>
        <v>quarta-feira</v>
      </c>
      <c r="C100" s="3">
        <v>0.30416666666666664</v>
      </c>
      <c r="D100" s="3">
        <v>0.53055555555555556</v>
      </c>
      <c r="E100" s="3">
        <v>0.58194444444444449</v>
      </c>
      <c r="F100" s="3">
        <v>0.75208333333333333</v>
      </c>
      <c r="G100" s="3">
        <v>0.36666666666666664</v>
      </c>
      <c r="H100" s="7">
        <f>((D100-C100)+(F100-E100))-Tabela1[[#This Row],[Expediente]]</f>
        <v>2.9861111111111116E-2</v>
      </c>
    </row>
    <row r="101" spans="1:8" x14ac:dyDescent="0.25">
      <c r="A101" s="2">
        <v>45785</v>
      </c>
      <c r="B101" s="4" t="str">
        <f t="shared" si="13"/>
        <v>quinta-feira</v>
      </c>
      <c r="C101" s="3">
        <v>0.30277777777777776</v>
      </c>
      <c r="D101" s="3">
        <v>0.52430555555555558</v>
      </c>
      <c r="E101" s="3">
        <v>0.5708333333333333</v>
      </c>
      <c r="F101" s="3">
        <v>0.76388888888888884</v>
      </c>
      <c r="G101" s="3">
        <v>0.36666666666666664</v>
      </c>
      <c r="H101" s="7">
        <f>((D101-C101)+(F101-E101))-Tabela1[[#This Row],[Expediente]]</f>
        <v>4.7916666666666718E-2</v>
      </c>
    </row>
    <row r="102" spans="1:8" x14ac:dyDescent="0.25">
      <c r="A102" s="2">
        <v>45786</v>
      </c>
      <c r="B102" s="4" t="str">
        <f t="shared" si="13"/>
        <v>sexta-feira</v>
      </c>
      <c r="C102" s="3">
        <v>0.29791666666666666</v>
      </c>
      <c r="D102" s="3">
        <v>0.52847222222222223</v>
      </c>
      <c r="E102" s="3">
        <v>0.57916666666666672</v>
      </c>
      <c r="F102" s="3">
        <v>0.75069444444444444</v>
      </c>
      <c r="G102" s="3">
        <v>0.36666666666666664</v>
      </c>
      <c r="H102" s="7">
        <f>((D102-C102)+(F102-E102))-Tabela1[[#This Row],[Expediente]]</f>
        <v>3.5416666666666652E-2</v>
      </c>
    </row>
    <row r="103" spans="1:8" x14ac:dyDescent="0.25">
      <c r="A103" s="2">
        <v>45787</v>
      </c>
      <c r="B103" s="4" t="str">
        <f t="shared" si="13"/>
        <v>sábado</v>
      </c>
      <c r="C103" s="3">
        <v>0.33611111111111114</v>
      </c>
      <c r="D103" s="3">
        <v>0.48125000000000001</v>
      </c>
      <c r="E103" s="3">
        <v>0</v>
      </c>
      <c r="F103" s="3">
        <v>0</v>
      </c>
      <c r="G103" s="3">
        <v>0</v>
      </c>
      <c r="H103" s="7">
        <f>((D103-C103)+(F103-E103))-Tabela1[[#This Row],[Expediente]]</f>
        <v>0.14513888888888887</v>
      </c>
    </row>
    <row r="104" spans="1:8" x14ac:dyDescent="0.25">
      <c r="A104" s="2">
        <v>45788</v>
      </c>
      <c r="B104" s="4" t="str">
        <f t="shared" si="13"/>
        <v>domingo</v>
      </c>
      <c r="C104" s="3">
        <v>0</v>
      </c>
      <c r="D104" s="3">
        <v>0</v>
      </c>
      <c r="E104" s="3">
        <v>0</v>
      </c>
      <c r="F104" s="3">
        <v>0</v>
      </c>
      <c r="G104" s="3">
        <v>0</v>
      </c>
      <c r="H104" s="7">
        <f>((D104-C104)+(F104-E104))-Tabela1[[#This Row],[Expediente]]</f>
        <v>0</v>
      </c>
    </row>
    <row r="105" spans="1:8" x14ac:dyDescent="0.25">
      <c r="A105" s="2">
        <v>45789</v>
      </c>
      <c r="B105" s="4" t="str">
        <f t="shared" si="13"/>
        <v>segunda-feira</v>
      </c>
      <c r="C105" s="3">
        <v>0.29236111111111113</v>
      </c>
      <c r="D105" s="3">
        <v>0.5444444444444444</v>
      </c>
      <c r="E105" s="3">
        <v>0.58680555555555558</v>
      </c>
      <c r="F105" s="3">
        <v>0.74722222222222223</v>
      </c>
      <c r="G105" s="3">
        <v>0.36666666666666664</v>
      </c>
      <c r="H105" s="7">
        <f>((D105-C105)+(F105-E105))-Tabela1[[#This Row],[Expediente]]</f>
        <v>4.5833333333333282E-2</v>
      </c>
    </row>
    <row r="106" spans="1:8" x14ac:dyDescent="0.25">
      <c r="A106" s="2">
        <v>45790</v>
      </c>
      <c r="B106" s="4" t="str">
        <f t="shared" si="13"/>
        <v>terça-feira</v>
      </c>
      <c r="C106" s="3">
        <v>0.29930555555555555</v>
      </c>
      <c r="D106" s="3">
        <v>0.52847222222222223</v>
      </c>
      <c r="E106" s="3">
        <v>0.57499999999999996</v>
      </c>
      <c r="F106" s="3">
        <v>0.77013888888888893</v>
      </c>
      <c r="G106" s="3">
        <v>0.36666666666666664</v>
      </c>
      <c r="H106" s="7">
        <f>((D106-C106)+(F106-E106))-Tabela1[[#This Row],[Expediente]]</f>
        <v>5.7638888888889017E-2</v>
      </c>
    </row>
    <row r="107" spans="1:8" x14ac:dyDescent="0.25">
      <c r="A107" s="2">
        <v>45791</v>
      </c>
      <c r="B107" s="4" t="str">
        <f t="shared" si="13"/>
        <v>quarta-feira</v>
      </c>
      <c r="C107" s="3">
        <v>0.2986111111111111</v>
      </c>
      <c r="D107" s="3">
        <v>0.52569444444444446</v>
      </c>
      <c r="E107" s="3">
        <v>0.59305555555555556</v>
      </c>
      <c r="F107" s="3">
        <v>0.74444444444444446</v>
      </c>
      <c r="G107" s="3">
        <v>0.36666666666666664</v>
      </c>
      <c r="H107" s="7">
        <f>((D107-C107)+(F107-E107))-Tabela1[[#This Row],[Expediente]]</f>
        <v>1.1805555555555625E-2</v>
      </c>
    </row>
    <row r="108" spans="1:8" x14ac:dyDescent="0.25">
      <c r="A108" s="2">
        <v>45792</v>
      </c>
      <c r="B108" s="4" t="str">
        <f t="shared" si="13"/>
        <v>quinta-feira</v>
      </c>
      <c r="C108" s="3">
        <v>0.29930555555555555</v>
      </c>
      <c r="D108" s="3">
        <v>0.54374999999999996</v>
      </c>
      <c r="E108" s="3">
        <v>0.58958333333333335</v>
      </c>
      <c r="F108" s="3">
        <v>0.7631944444444444</v>
      </c>
      <c r="G108" s="3">
        <v>0.36666666666666664</v>
      </c>
      <c r="H108" s="7">
        <f>((D108-C108)+(F108-E108))-Tabela1[[#This Row],[Expediente]]</f>
        <v>5.1388888888888817E-2</v>
      </c>
    </row>
    <row r="109" spans="1:8" x14ac:dyDescent="0.25">
      <c r="A109" s="2">
        <v>45793</v>
      </c>
      <c r="B109" s="4" t="str">
        <f t="shared" si="13"/>
        <v>sexta-feira</v>
      </c>
      <c r="C109" s="3">
        <v>0.29583333333333334</v>
      </c>
      <c r="D109" s="3">
        <v>0.52569444444444446</v>
      </c>
      <c r="E109" s="3">
        <v>0.60486111111111107</v>
      </c>
      <c r="F109" s="3">
        <v>0.75277777777777777</v>
      </c>
      <c r="G109" s="3">
        <v>0.36666666666666664</v>
      </c>
      <c r="H109" s="7">
        <f>((D109-C109)+(F109-E109))-Tabela1[[#This Row],[Expediente]]</f>
        <v>1.1111111111111183E-2</v>
      </c>
    </row>
    <row r="110" spans="1:8" x14ac:dyDescent="0.25">
      <c r="A110" s="2">
        <v>45794</v>
      </c>
      <c r="B110" s="4" t="str">
        <f t="shared" si="13"/>
        <v>sábado</v>
      </c>
      <c r="C110" s="3">
        <v>0.34375</v>
      </c>
      <c r="D110" s="3">
        <v>0.53472222222222221</v>
      </c>
      <c r="E110" s="3">
        <v>0.58333333333333337</v>
      </c>
      <c r="F110" s="3">
        <v>0.66666666666666663</v>
      </c>
      <c r="G110" s="3">
        <v>0</v>
      </c>
      <c r="H110" s="7">
        <f>((D110-C110)+(F110-E110))-Tabela1[[#This Row],[Expediente]]</f>
        <v>0.27430555555555547</v>
      </c>
    </row>
    <row r="111" spans="1:8" x14ac:dyDescent="0.25">
      <c r="A111" s="2">
        <v>45795</v>
      </c>
      <c r="B111" s="4" t="str">
        <f t="shared" si="13"/>
        <v>domingo</v>
      </c>
      <c r="C111" s="3">
        <v>0</v>
      </c>
      <c r="D111" s="3">
        <v>0</v>
      </c>
      <c r="E111" s="3">
        <v>0</v>
      </c>
      <c r="F111" s="3">
        <v>0</v>
      </c>
      <c r="G111" s="3">
        <v>0</v>
      </c>
      <c r="H111" s="7">
        <f>((D111-C111)+(F111-E111))-Tabela1[[#This Row],[Expediente]]</f>
        <v>0</v>
      </c>
    </row>
    <row r="112" spans="1:8" x14ac:dyDescent="0.25">
      <c r="A112" s="2">
        <v>45796</v>
      </c>
      <c r="B112" s="4" t="str">
        <f t="shared" si="13"/>
        <v>segunda-feira</v>
      </c>
      <c r="C112" s="3">
        <v>0.30069444444444443</v>
      </c>
      <c r="D112" s="3">
        <v>0.54374999999999996</v>
      </c>
      <c r="E112" s="3">
        <v>0.5854166666666667</v>
      </c>
      <c r="F112" s="3">
        <v>0.75277777777777777</v>
      </c>
      <c r="G112" s="3">
        <v>0.36666666666666664</v>
      </c>
      <c r="H112" s="7">
        <f>((D112-C112)+(F112-E112))-Tabela1[[#This Row],[Expediente]]</f>
        <v>4.3749999999999956E-2</v>
      </c>
    </row>
    <row r="113" spans="1:8" x14ac:dyDescent="0.25">
      <c r="A113" s="2">
        <v>45797</v>
      </c>
      <c r="B113" s="4" t="str">
        <f t="shared" si="13"/>
        <v>terça-feira</v>
      </c>
      <c r="C113" s="3">
        <v>0.30069444444444443</v>
      </c>
      <c r="D113" s="3">
        <v>0.51527777777777772</v>
      </c>
      <c r="E113" s="3">
        <v>0.55486111111111114</v>
      </c>
      <c r="F113" s="3">
        <v>0.74444444444444446</v>
      </c>
      <c r="G113" s="3">
        <v>0.36666666666666664</v>
      </c>
      <c r="H113" s="7">
        <f>((D113-C113)+(F113-E113))-Tabela1[[#This Row],[Expediente]]</f>
        <v>3.7499999999999978E-2</v>
      </c>
    </row>
    <row r="114" spans="1:8" x14ac:dyDescent="0.25">
      <c r="A114" s="2">
        <v>45798</v>
      </c>
      <c r="B114" s="4" t="str">
        <f t="shared" si="13"/>
        <v>quarta-feira</v>
      </c>
      <c r="C114" s="3">
        <v>0.30486111111111114</v>
      </c>
      <c r="D114" s="3">
        <v>0.52152777777777781</v>
      </c>
      <c r="E114" s="3">
        <v>0.5708333333333333</v>
      </c>
      <c r="F114" s="3">
        <v>0.76180555555555551</v>
      </c>
      <c r="G114" s="3">
        <v>0.36666666666666664</v>
      </c>
      <c r="H114" s="7">
        <f>((D114-C114)+(F114-E114))-Tabela1[[#This Row],[Expediente]]</f>
        <v>4.0972222222222243E-2</v>
      </c>
    </row>
    <row r="115" spans="1:8" x14ac:dyDescent="0.25">
      <c r="A115" s="2">
        <v>45799</v>
      </c>
      <c r="B115" s="4" t="str">
        <f t="shared" si="13"/>
        <v>quinta-feira</v>
      </c>
      <c r="C115" s="3">
        <v>0.30069444444444443</v>
      </c>
      <c r="D115" s="3">
        <v>0.52916666666666667</v>
      </c>
      <c r="E115" s="3">
        <v>0.57916666666666672</v>
      </c>
      <c r="F115" s="3">
        <v>0.74444444444444446</v>
      </c>
      <c r="G115" s="3">
        <v>0.36666666666666664</v>
      </c>
      <c r="H115" s="7">
        <f>((D115-C115)+(F115-E115))-Tabela1[[#This Row],[Expediente]]</f>
        <v>2.7083333333333348E-2</v>
      </c>
    </row>
    <row r="116" spans="1:8" x14ac:dyDescent="0.25">
      <c r="A116" s="2">
        <v>45800</v>
      </c>
      <c r="B116" s="4" t="str">
        <f t="shared" si="13"/>
        <v>sexta-feira</v>
      </c>
      <c r="C116" s="3">
        <v>0.2986111111111111</v>
      </c>
      <c r="D116" s="3">
        <v>0.55694444444444446</v>
      </c>
      <c r="E116" s="3">
        <v>0.6069444444444444</v>
      </c>
      <c r="F116" s="3">
        <v>0.7416666666666667</v>
      </c>
      <c r="G116" s="3">
        <v>0.36666666666666664</v>
      </c>
      <c r="H116" s="7">
        <f>((D116-C116)+(F116-E116))-Tabela1[[#This Row],[Expediente]]</f>
        <v>2.6388888888889017E-2</v>
      </c>
    </row>
    <row r="117" spans="1:8" x14ac:dyDescent="0.25">
      <c r="A117" s="2">
        <v>45801</v>
      </c>
      <c r="B117" s="4" t="str">
        <f t="shared" si="13"/>
        <v>sábado</v>
      </c>
      <c r="C117" s="3">
        <v>0</v>
      </c>
      <c r="D117" s="3">
        <v>0</v>
      </c>
      <c r="E117" s="3">
        <v>0</v>
      </c>
      <c r="F117" s="3">
        <v>0</v>
      </c>
      <c r="G117" s="3">
        <v>0</v>
      </c>
      <c r="H117" s="7">
        <f>((D117-C117)+(F117-E117))-Tabela1[[#This Row],[Expediente]]</f>
        <v>0</v>
      </c>
    </row>
    <row r="118" spans="1:8" x14ac:dyDescent="0.25">
      <c r="A118" s="2">
        <v>45802</v>
      </c>
      <c r="B118" s="4" t="str">
        <f t="shared" si="13"/>
        <v>domingo</v>
      </c>
      <c r="C118" s="3">
        <v>0</v>
      </c>
      <c r="D118" s="3">
        <v>0</v>
      </c>
      <c r="E118" s="3">
        <v>0</v>
      </c>
      <c r="F118" s="3">
        <v>0</v>
      </c>
      <c r="G118" s="3">
        <v>0</v>
      </c>
      <c r="H118" s="7">
        <f>((D118-C118)+(F118-E118))-Tabela1[[#This Row],[Expediente]]</f>
        <v>0</v>
      </c>
    </row>
    <row r="119" spans="1:8" x14ac:dyDescent="0.25">
      <c r="A119" s="2">
        <v>45803</v>
      </c>
      <c r="B119" s="4" t="str">
        <f t="shared" si="13"/>
        <v>segunda-feira</v>
      </c>
      <c r="C119" s="3">
        <v>0.30069444444444443</v>
      </c>
      <c r="D119" s="3">
        <v>0.52500000000000002</v>
      </c>
      <c r="E119" s="3">
        <v>0.57013888888888886</v>
      </c>
      <c r="F119" s="3">
        <v>0.73819444444444449</v>
      </c>
      <c r="G119" s="3">
        <v>0.36666666666666664</v>
      </c>
      <c r="H119" s="7">
        <f>((D119-C119)+(F119-E119))-Tabela1[[#This Row],[Expediente]]</f>
        <v>2.5694444444444575E-2</v>
      </c>
    </row>
    <row r="120" spans="1:8" x14ac:dyDescent="0.25">
      <c r="A120" s="2">
        <v>45804</v>
      </c>
      <c r="B120" s="4" t="str">
        <f t="shared" si="13"/>
        <v>terça-feira</v>
      </c>
      <c r="C120" s="3">
        <v>0.29722222222222222</v>
      </c>
      <c r="D120" s="3">
        <v>0.52152777777777781</v>
      </c>
      <c r="E120" s="3">
        <v>0.56805555555555554</v>
      </c>
      <c r="F120" s="3">
        <v>0.76458333333333328</v>
      </c>
      <c r="G120" s="3">
        <v>0.36666666666666664</v>
      </c>
      <c r="H120" s="7">
        <f>((D120-C120)+(F120-E120))-Tabela1[[#This Row],[Expediente]]</f>
        <v>5.4166666666666696E-2</v>
      </c>
    </row>
    <row r="121" spans="1:8" x14ac:dyDescent="0.25">
      <c r="A121" s="2">
        <v>45805</v>
      </c>
      <c r="B121" s="4" t="str">
        <f t="shared" si="13"/>
        <v>quarta-feira</v>
      </c>
      <c r="C121" s="3">
        <v>0.29930555555555555</v>
      </c>
      <c r="D121" s="3">
        <v>0.52777777777777779</v>
      </c>
      <c r="E121" s="3">
        <v>0.5708333333333333</v>
      </c>
      <c r="F121" s="3">
        <v>0.74236111111111114</v>
      </c>
      <c r="G121" s="3">
        <v>0.36666666666666664</v>
      </c>
      <c r="H121" s="7">
        <f>((D121-C121)+(F121-E121))-Tabela1[[#This Row],[Expediente]]</f>
        <v>3.3333333333333437E-2</v>
      </c>
    </row>
    <row r="122" spans="1:8" x14ac:dyDescent="0.25">
      <c r="A122" s="2">
        <v>45806</v>
      </c>
      <c r="B122" s="4" t="str">
        <f t="shared" si="13"/>
        <v>quinta-feira</v>
      </c>
      <c r="C122" s="3">
        <v>0.3034722222222222</v>
      </c>
      <c r="D122" s="3">
        <v>0.52152777777777781</v>
      </c>
      <c r="E122" s="3">
        <v>0.56319444444444444</v>
      </c>
      <c r="F122" s="3">
        <v>0.75694444444444442</v>
      </c>
      <c r="G122" s="3">
        <v>0.36666666666666664</v>
      </c>
      <c r="H122" s="7">
        <f>((D122-C122)+(F122-E122))-Tabela1[[#This Row],[Expediente]]</f>
        <v>4.5138888888888951E-2</v>
      </c>
    </row>
    <row r="123" spans="1:8" x14ac:dyDescent="0.25">
      <c r="A123" s="2">
        <v>45807</v>
      </c>
      <c r="B123" s="4" t="str">
        <f t="shared" si="13"/>
        <v>sexta-feira</v>
      </c>
      <c r="C123" s="3">
        <v>0.29930555555555555</v>
      </c>
      <c r="D123" s="3">
        <v>0.56458333333333333</v>
      </c>
      <c r="E123" s="3">
        <v>0.61805555555555558</v>
      </c>
      <c r="F123" s="3">
        <v>0.7368055555555556</v>
      </c>
      <c r="G123" s="3">
        <v>0.36666666666666664</v>
      </c>
      <c r="H123" s="7">
        <f>((D123-C123)+(F123-E123))-Tabela1[[#This Row],[Expediente]]</f>
        <v>1.736111111111116E-2</v>
      </c>
    </row>
    <row r="124" spans="1:8" x14ac:dyDescent="0.25">
      <c r="A124" s="2">
        <v>45808</v>
      </c>
      <c r="B124" s="4" t="str">
        <f t="shared" si="13"/>
        <v>sábado</v>
      </c>
      <c r="C124" s="3">
        <v>0</v>
      </c>
      <c r="D124" s="3">
        <v>0</v>
      </c>
      <c r="E124" s="3">
        <v>0</v>
      </c>
      <c r="F124" s="3">
        <v>0</v>
      </c>
      <c r="G124" s="3">
        <v>0</v>
      </c>
      <c r="H124" s="7">
        <f>((D124-C124)+(F124-E124))-Tabela1[[#This Row],[Expediente]]</f>
        <v>0</v>
      </c>
    </row>
    <row r="125" spans="1:8" x14ac:dyDescent="0.25">
      <c r="A125" s="2">
        <v>45809</v>
      </c>
      <c r="B125" s="4" t="str">
        <f t="shared" si="13"/>
        <v>domingo</v>
      </c>
      <c r="C125" s="3">
        <v>0</v>
      </c>
      <c r="D125" s="3">
        <v>0</v>
      </c>
      <c r="E125" s="3">
        <v>0</v>
      </c>
      <c r="F125" s="3">
        <v>0</v>
      </c>
      <c r="G125" s="3">
        <v>0</v>
      </c>
      <c r="H125" s="7">
        <f>((D125-C125)+(F125-E125))-Tabela1[[#This Row],[Expediente]]</f>
        <v>0</v>
      </c>
    </row>
    <row r="126" spans="1:8" x14ac:dyDescent="0.25">
      <c r="A126" s="2">
        <v>45810</v>
      </c>
      <c r="B126" s="4" t="str">
        <f t="shared" si="13"/>
        <v>segunda-feira</v>
      </c>
      <c r="C126" s="3">
        <v>0.30972222222222223</v>
      </c>
      <c r="D126" s="3">
        <v>0.52222222222222225</v>
      </c>
      <c r="E126" s="3">
        <v>0.56874999999999998</v>
      </c>
      <c r="F126" s="3">
        <v>0.74375000000000002</v>
      </c>
      <c r="G126" s="3">
        <v>0.36666666666666664</v>
      </c>
      <c r="H126" s="7">
        <f>((D126-C126)+(F126-E126))-Tabela1[[#This Row],[Expediente]]</f>
        <v>2.0833333333333426E-2</v>
      </c>
    </row>
    <row r="127" spans="1:8" x14ac:dyDescent="0.25">
      <c r="A127" s="2">
        <v>45811</v>
      </c>
      <c r="B127" s="4" t="str">
        <f t="shared" si="13"/>
        <v>terça-feira</v>
      </c>
      <c r="C127" s="3">
        <v>0.30763888888888891</v>
      </c>
      <c r="D127" s="3">
        <v>0.52986111111111112</v>
      </c>
      <c r="E127" s="3">
        <v>0.56597222222222221</v>
      </c>
      <c r="F127" s="3">
        <v>0.74236111111111114</v>
      </c>
      <c r="G127" s="3">
        <v>0.36666666666666664</v>
      </c>
      <c r="H127" s="7">
        <f>((D127-C127)+(F127-E127))-Tabela1[[#This Row],[Expediente]]</f>
        <v>3.1944444444444497E-2</v>
      </c>
    </row>
    <row r="128" spans="1:8" x14ac:dyDescent="0.25">
      <c r="A128" s="2">
        <v>45812</v>
      </c>
      <c r="B128" s="4" t="str">
        <f t="shared" si="13"/>
        <v>quarta-feira</v>
      </c>
      <c r="C128" s="3">
        <v>0.30555555555555558</v>
      </c>
      <c r="D128" s="3">
        <v>0.4826388888888889</v>
      </c>
      <c r="E128" s="3">
        <v>0.52847222222222223</v>
      </c>
      <c r="F128" s="3">
        <v>0.74583333333333335</v>
      </c>
      <c r="G128" s="3">
        <v>0.36666666666666664</v>
      </c>
      <c r="H128" s="7">
        <f>((D128-C128)+(F128-E128))-Tabela1[[#This Row],[Expediente]]</f>
        <v>2.777777777777779E-2</v>
      </c>
    </row>
    <row r="129" spans="1:8" x14ac:dyDescent="0.25">
      <c r="A129" s="2">
        <v>45813</v>
      </c>
      <c r="B129" s="4" t="str">
        <f t="shared" si="13"/>
        <v>quinta-feira</v>
      </c>
      <c r="C129" s="3">
        <v>0.30208333333333331</v>
      </c>
      <c r="D129" s="3">
        <v>0.48333333333333334</v>
      </c>
      <c r="E129" s="3">
        <v>0.53125</v>
      </c>
      <c r="F129" s="3">
        <v>0.75972222222222219</v>
      </c>
      <c r="G129" s="3">
        <v>0.36666666666666664</v>
      </c>
      <c r="H129" s="7">
        <f>((D129-C129)+(F129-E129))-Tabela1[[#This Row],[Expediente]]</f>
        <v>4.3055555555555569E-2</v>
      </c>
    </row>
    <row r="130" spans="1:8" x14ac:dyDescent="0.25">
      <c r="A130" s="2">
        <v>45814</v>
      </c>
      <c r="B130" s="4" t="str">
        <f t="shared" si="13"/>
        <v>sexta-feira</v>
      </c>
      <c r="C130" s="3">
        <v>0.30972222222222223</v>
      </c>
      <c r="D130" s="3">
        <v>0.5</v>
      </c>
      <c r="E130" s="3">
        <v>0.54166666666666663</v>
      </c>
      <c r="F130" s="3">
        <v>0.74652777777777779</v>
      </c>
      <c r="G130" s="3">
        <v>0.36666666666666664</v>
      </c>
      <c r="H130" s="7">
        <f>((D130-C130)+(F130-E130))-Tabela1[[#This Row],[Expediente]]</f>
        <v>2.8472222222222288E-2</v>
      </c>
    </row>
    <row r="131" spans="1:8" x14ac:dyDescent="0.25">
      <c r="A131" s="2">
        <v>45815</v>
      </c>
      <c r="B131" s="4" t="str">
        <f t="shared" si="13"/>
        <v>sábado</v>
      </c>
      <c r="C131" s="3">
        <v>0</v>
      </c>
      <c r="D131" s="3">
        <v>0</v>
      </c>
      <c r="E131" s="3">
        <v>0</v>
      </c>
      <c r="F131" s="3">
        <v>0</v>
      </c>
      <c r="G131" s="3">
        <v>0</v>
      </c>
      <c r="H131" s="7">
        <f>((D131-C131)+(F131-E131))-Tabela1[[#This Row],[Expediente]]</f>
        <v>0</v>
      </c>
    </row>
    <row r="132" spans="1:8" x14ac:dyDescent="0.25">
      <c r="A132" s="2">
        <v>45816</v>
      </c>
      <c r="B132" s="4" t="str">
        <f t="shared" si="13"/>
        <v>domingo</v>
      </c>
      <c r="C132" s="3">
        <v>0</v>
      </c>
      <c r="D132" s="3">
        <v>0</v>
      </c>
      <c r="E132" s="3">
        <v>0</v>
      </c>
      <c r="F132" s="3">
        <v>0</v>
      </c>
      <c r="G132" s="3">
        <v>0</v>
      </c>
      <c r="H132" s="7">
        <f>((D132-C132)+(F132-E132))-Tabela1[[#This Row],[Expediente]]</f>
        <v>0</v>
      </c>
    </row>
    <row r="133" spans="1:8" x14ac:dyDescent="0.25">
      <c r="A133" s="2">
        <v>45817</v>
      </c>
      <c r="B133" s="4" t="str">
        <f t="shared" si="13"/>
        <v>segunda-feira</v>
      </c>
      <c r="C133" s="3">
        <v>0.29791666666666666</v>
      </c>
      <c r="D133" s="3">
        <v>0.52430555555555558</v>
      </c>
      <c r="E133" s="3">
        <v>0.57499999999999996</v>
      </c>
      <c r="F133" s="3">
        <v>0.74236111111111114</v>
      </c>
      <c r="G133" s="3">
        <v>0.36666666666666664</v>
      </c>
      <c r="H133" s="7">
        <f>((D133-C133)+(F133-E133))-Tabela1[[#This Row],[Expediente]]</f>
        <v>2.7083333333333459E-2</v>
      </c>
    </row>
    <row r="134" spans="1:8" x14ac:dyDescent="0.25">
      <c r="A134" s="2">
        <v>45818</v>
      </c>
      <c r="B134" s="4" t="str">
        <f t="shared" si="13"/>
        <v>terça-feira</v>
      </c>
      <c r="C134" s="3">
        <v>0.31388888888888888</v>
      </c>
      <c r="D134" s="3">
        <v>0.52430555555555558</v>
      </c>
      <c r="E134" s="3">
        <v>0.56666666666666665</v>
      </c>
      <c r="F134" s="3">
        <v>0.75486111111111109</v>
      </c>
      <c r="G134" s="3">
        <v>0.36666666666666664</v>
      </c>
      <c r="H134" s="7">
        <f>((D134-C134)+(F134-E134))-Tabela1[[#This Row],[Expediente]]</f>
        <v>3.1944444444444497E-2</v>
      </c>
    </row>
    <row r="135" spans="1:8" x14ac:dyDescent="0.25">
      <c r="A135" s="2">
        <v>45819</v>
      </c>
      <c r="B135" s="4" t="str">
        <f t="shared" si="13"/>
        <v>quarta-feira</v>
      </c>
      <c r="C135" s="3">
        <v>0.29722222222222222</v>
      </c>
      <c r="D135" s="3">
        <v>0.51944444444444449</v>
      </c>
      <c r="E135" s="3">
        <v>0.57222222222222219</v>
      </c>
      <c r="F135" s="3">
        <v>0.74305555555555558</v>
      </c>
      <c r="G135" s="3">
        <v>0.36666666666666664</v>
      </c>
      <c r="H135" s="7">
        <f>((D135-C135)+(F135-E135))-Tabela1[[#This Row],[Expediente]]</f>
        <v>2.6388888888889017E-2</v>
      </c>
    </row>
    <row r="136" spans="1:8" x14ac:dyDescent="0.25">
      <c r="A136" s="2">
        <v>45820</v>
      </c>
      <c r="B136" s="4" t="str">
        <f t="shared" si="13"/>
        <v>quinta-feira</v>
      </c>
      <c r="C136" s="3">
        <v>0.30555555555555558</v>
      </c>
      <c r="D136" s="3">
        <v>0.52152777777777781</v>
      </c>
      <c r="E136" s="3">
        <v>0.57013888888888886</v>
      </c>
      <c r="F136" s="3">
        <v>0.7416666666666667</v>
      </c>
      <c r="G136" s="3">
        <v>0.36666666666666664</v>
      </c>
      <c r="H136" s="7">
        <f>((D136-C136)+(F136-E136))-Tabela1[[#This Row],[Expediente]]</f>
        <v>2.0833333333333426E-2</v>
      </c>
    </row>
    <row r="137" spans="1:8" x14ac:dyDescent="0.25">
      <c r="A137" s="2">
        <v>45821</v>
      </c>
      <c r="B137" s="4" t="str">
        <f t="shared" si="13"/>
        <v>sexta-feira</v>
      </c>
      <c r="C137" s="3">
        <v>0.31458333333333333</v>
      </c>
      <c r="D137" s="3">
        <v>0.53472222222222221</v>
      </c>
      <c r="E137" s="3">
        <v>0.57986111111111116</v>
      </c>
      <c r="F137" s="3">
        <v>0.74305555555555558</v>
      </c>
      <c r="G137" s="3">
        <v>0.36666666666666664</v>
      </c>
      <c r="H137" s="7">
        <f>((D137-C137)+(F137-E137))-Tabela1[[#This Row],[Expediente]]</f>
        <v>1.6666666666666663E-2</v>
      </c>
    </row>
    <row r="138" spans="1:8" x14ac:dyDescent="0.25">
      <c r="A138" s="2">
        <v>45822</v>
      </c>
      <c r="B138" s="4" t="str">
        <f t="shared" si="13"/>
        <v>sábado</v>
      </c>
      <c r="C138" s="3">
        <v>0.31597222222222221</v>
      </c>
      <c r="D138" s="3">
        <v>0.59236111111111112</v>
      </c>
      <c r="E138" s="3">
        <v>0</v>
      </c>
      <c r="F138" s="3">
        <v>0</v>
      </c>
      <c r="G138" s="3">
        <v>0</v>
      </c>
      <c r="H138" s="7">
        <f>((D138-C138)+(F138-E138))-Tabela1[[#This Row],[Expediente]]</f>
        <v>0.27638888888888891</v>
      </c>
    </row>
    <row r="139" spans="1:8" x14ac:dyDescent="0.25">
      <c r="A139" s="2">
        <v>45823</v>
      </c>
      <c r="B139" s="4" t="str">
        <f t="shared" si="13"/>
        <v>domingo</v>
      </c>
      <c r="C139" s="3">
        <v>0</v>
      </c>
      <c r="D139" s="3">
        <v>0</v>
      </c>
      <c r="E139" s="3">
        <v>0</v>
      </c>
      <c r="F139" s="3">
        <v>0</v>
      </c>
      <c r="G139" s="3">
        <v>0</v>
      </c>
      <c r="H139" s="7">
        <f>((D139-C139)+(F139-E139))-Tabela1[[#This Row],[Expediente]]</f>
        <v>0</v>
      </c>
    </row>
    <row r="140" spans="1:8" x14ac:dyDescent="0.25">
      <c r="A140" s="2">
        <v>45824</v>
      </c>
      <c r="B140" s="4" t="str">
        <f t="shared" si="13"/>
        <v>segunda-feira</v>
      </c>
      <c r="C140" s="3">
        <v>0.30555555555555558</v>
      </c>
      <c r="D140" s="3">
        <v>0.52013888888888893</v>
      </c>
      <c r="E140" s="3">
        <v>0.57222222222222219</v>
      </c>
      <c r="F140" s="3">
        <v>0.74444444444444446</v>
      </c>
      <c r="G140" s="3">
        <v>0.36666666666666664</v>
      </c>
      <c r="H140" s="7">
        <f>((D140-C140)+(F140-E140))-Tabela1[[#This Row],[Expediente]]</f>
        <v>2.0138888888888984E-2</v>
      </c>
    </row>
    <row r="141" spans="1:8" x14ac:dyDescent="0.25">
      <c r="A141" s="2">
        <v>45825</v>
      </c>
      <c r="B141" s="4" t="str">
        <f t="shared" si="13"/>
        <v>terça-feira</v>
      </c>
      <c r="C141" s="3">
        <v>0.30694444444444446</v>
      </c>
      <c r="D141" s="3">
        <v>0.52708333333333335</v>
      </c>
      <c r="E141" s="3">
        <v>0.57152777777777775</v>
      </c>
      <c r="F141" s="3">
        <v>0.7416666666666667</v>
      </c>
      <c r="G141" s="3">
        <v>0.36666666666666664</v>
      </c>
      <c r="H141" s="7">
        <f>((D141-C141)+(F141-E141))-Tabela1[[#This Row],[Expediente]]</f>
        <v>2.3611111111111194E-2</v>
      </c>
    </row>
    <row r="142" spans="1:8" x14ac:dyDescent="0.25">
      <c r="A142" s="2">
        <v>45826</v>
      </c>
      <c r="B142" s="4" t="str">
        <f t="shared" si="13"/>
        <v>quarta-feira</v>
      </c>
      <c r="C142" s="3">
        <v>0.30208333333333331</v>
      </c>
      <c r="D142" s="3">
        <v>0.52152777777777781</v>
      </c>
      <c r="E142" s="3">
        <v>0.56874999999999998</v>
      </c>
      <c r="F142" s="3">
        <v>0.7416666666666667</v>
      </c>
      <c r="G142" s="3">
        <v>0.36666666666666664</v>
      </c>
      <c r="H142" s="7">
        <f>((D142-C142)+(F142-E142))-Tabela1[[#This Row],[Expediente]]</f>
        <v>2.5694444444444575E-2</v>
      </c>
    </row>
    <row r="143" spans="1:8" x14ac:dyDescent="0.25">
      <c r="A143" s="2">
        <v>45827</v>
      </c>
      <c r="B143" s="4" t="str">
        <f t="shared" si="13"/>
        <v>quinta-feira</v>
      </c>
      <c r="C143" s="3">
        <v>0</v>
      </c>
      <c r="D143" s="3">
        <v>0</v>
      </c>
      <c r="E143" s="3">
        <v>0</v>
      </c>
      <c r="F143" s="3">
        <v>0</v>
      </c>
      <c r="G143" s="3">
        <v>0</v>
      </c>
      <c r="H143" s="7">
        <f>((D143-C143)+(F143-E143))-Tabela1[[#This Row],[Expediente]]</f>
        <v>0</v>
      </c>
    </row>
    <row r="144" spans="1:8" x14ac:dyDescent="0.25">
      <c r="A144" s="2">
        <v>45828</v>
      </c>
      <c r="B144" s="4" t="str">
        <f t="shared" si="13"/>
        <v>sexta-feira</v>
      </c>
      <c r="C144" s="3">
        <v>0.30694444444444446</v>
      </c>
      <c r="D144" s="3">
        <v>0.53125</v>
      </c>
      <c r="E144" s="3">
        <v>0.57777777777777772</v>
      </c>
      <c r="F144" s="3">
        <v>0.74027777777777781</v>
      </c>
      <c r="G144" s="3">
        <v>0.36666666666666664</v>
      </c>
      <c r="H144" s="7">
        <f>((D144-C144)+(F144-E144))-Tabela1[[#This Row],[Expediente]]</f>
        <v>2.0138888888888984E-2</v>
      </c>
    </row>
    <row r="145" spans="1:8" x14ac:dyDescent="0.25">
      <c r="A145" s="2">
        <v>45829</v>
      </c>
      <c r="B145" s="4" t="str">
        <f t="shared" si="13"/>
        <v>sábado</v>
      </c>
      <c r="C145" s="3">
        <v>0</v>
      </c>
      <c r="D145" s="3">
        <v>0</v>
      </c>
      <c r="E145" s="3">
        <v>0</v>
      </c>
      <c r="F145" s="3">
        <v>0</v>
      </c>
      <c r="G145" s="3">
        <v>0</v>
      </c>
      <c r="H145" s="7">
        <f>((D145-C145)+(F145-E145))-Tabela1[[#This Row],[Expediente]]</f>
        <v>0</v>
      </c>
    </row>
    <row r="146" spans="1:8" x14ac:dyDescent="0.25">
      <c r="A146" s="2">
        <v>45830</v>
      </c>
      <c r="B146" s="4" t="str">
        <f t="shared" si="13"/>
        <v>domingo</v>
      </c>
      <c r="C146" s="3">
        <v>0</v>
      </c>
      <c r="D146" s="3">
        <v>0</v>
      </c>
      <c r="E146" s="3">
        <v>0</v>
      </c>
      <c r="F146" s="3">
        <v>0</v>
      </c>
      <c r="G146" s="3">
        <v>0</v>
      </c>
      <c r="H146" s="7">
        <f>((D146-C146)+(F146-E146))-Tabela1[[#This Row],[Expediente]]</f>
        <v>0</v>
      </c>
    </row>
    <row r="147" spans="1:8" x14ac:dyDescent="0.25">
      <c r="A147" s="2">
        <v>45831</v>
      </c>
      <c r="B147" s="4" t="str">
        <f t="shared" si="13"/>
        <v>segunda-feira</v>
      </c>
      <c r="C147" s="3">
        <v>0.30902777777777779</v>
      </c>
      <c r="D147" s="3">
        <v>0.5444444444444444</v>
      </c>
      <c r="E147" s="3">
        <v>0.59236111111111112</v>
      </c>
      <c r="F147" s="3">
        <v>0.74097222222222225</v>
      </c>
      <c r="G147" s="3">
        <v>0.36666666666666664</v>
      </c>
      <c r="H147" s="7">
        <f>((D147-C147)+(F147-E147))-Tabela1[[#This Row],[Expediente]]</f>
        <v>1.7361111111111105E-2</v>
      </c>
    </row>
    <row r="148" spans="1:8" x14ac:dyDescent="0.25">
      <c r="A148" s="2">
        <v>45832</v>
      </c>
      <c r="B148" s="4" t="str">
        <f t="shared" si="13"/>
        <v>terça-feira</v>
      </c>
      <c r="C148" s="3">
        <v>0.30694444444444446</v>
      </c>
      <c r="D148" s="3">
        <v>0.52152777777777781</v>
      </c>
      <c r="E148" s="3">
        <v>0.56805555555555554</v>
      </c>
      <c r="F148" s="3">
        <v>0.74861111111111112</v>
      </c>
      <c r="G148" s="3">
        <v>0.36666666666666664</v>
      </c>
      <c r="H148" s="7">
        <f>((D148-C148)+(F148-E148))-Tabela1[[#This Row],[Expediente]]</f>
        <v>2.8472222222222288E-2</v>
      </c>
    </row>
    <row r="149" spans="1:8" x14ac:dyDescent="0.25">
      <c r="A149" s="2">
        <v>45833</v>
      </c>
      <c r="B149" s="4" t="str">
        <f t="shared" si="13"/>
        <v>quarta-feira</v>
      </c>
      <c r="C149" s="3">
        <v>0.30763888888888891</v>
      </c>
      <c r="D149" s="3">
        <v>0.5180555555555556</v>
      </c>
      <c r="E149" s="3">
        <v>0.57013888888888886</v>
      </c>
      <c r="F149" s="3">
        <v>0.75069444444444444</v>
      </c>
      <c r="G149" s="3">
        <v>0.36666666666666664</v>
      </c>
      <c r="H149" s="7">
        <f>((D149-C149)+(F149-E149))-Tabela1[[#This Row],[Expediente]]</f>
        <v>2.4305555555555636E-2</v>
      </c>
    </row>
    <row r="150" spans="1:8" x14ac:dyDescent="0.25">
      <c r="A150" s="2">
        <v>45834</v>
      </c>
      <c r="B150" s="4" t="str">
        <f t="shared" ref="B150:B213" si="14">TEXT(A150,"dddd")</f>
        <v>quinta-feira</v>
      </c>
      <c r="C150" s="3">
        <v>0.30763888888888891</v>
      </c>
      <c r="D150" s="3">
        <v>0.51944444444444449</v>
      </c>
      <c r="E150" s="3">
        <v>0.57361111111111107</v>
      </c>
      <c r="F150" s="3">
        <v>0.74027777777777781</v>
      </c>
      <c r="G150" s="3">
        <v>0.36666666666666664</v>
      </c>
      <c r="H150" s="7">
        <f>((D150-C150)+(F150-E150))-Tabela1[[#This Row],[Expediente]]</f>
        <v>1.180555555555568E-2</v>
      </c>
    </row>
    <row r="151" spans="1:8" x14ac:dyDescent="0.25">
      <c r="A151" s="2">
        <v>45835</v>
      </c>
      <c r="B151" s="4" t="str">
        <f t="shared" si="14"/>
        <v>sexta-feira</v>
      </c>
      <c r="C151" s="3">
        <v>0.30763888888888891</v>
      </c>
      <c r="D151" s="3">
        <v>0.53472222222222221</v>
      </c>
      <c r="E151" s="3">
        <v>0.57152777777777775</v>
      </c>
      <c r="F151" s="3">
        <v>0.74375000000000002</v>
      </c>
      <c r="G151" s="3">
        <v>0.36666666666666664</v>
      </c>
      <c r="H151" s="7">
        <f>((D151-C151)+(F151-E151))-Tabela1[[#This Row],[Expediente]]</f>
        <v>3.2638888888888939E-2</v>
      </c>
    </row>
    <row r="152" spans="1:8" x14ac:dyDescent="0.25">
      <c r="A152" s="2">
        <v>45836</v>
      </c>
      <c r="B152" s="4" t="str">
        <f t="shared" si="14"/>
        <v>sábado</v>
      </c>
      <c r="C152" s="3">
        <v>0</v>
      </c>
      <c r="D152" s="3">
        <v>0</v>
      </c>
      <c r="E152" s="3">
        <v>0</v>
      </c>
      <c r="F152" s="3">
        <v>0</v>
      </c>
      <c r="G152" s="3">
        <v>0</v>
      </c>
      <c r="H152" s="7">
        <f>((D152-C152)+(F152-E152))-Tabela1[[#This Row],[Expediente]]</f>
        <v>0</v>
      </c>
    </row>
    <row r="153" spans="1:8" x14ac:dyDescent="0.25">
      <c r="A153" s="2">
        <v>45837</v>
      </c>
      <c r="B153" s="4" t="str">
        <f t="shared" si="14"/>
        <v>domingo</v>
      </c>
      <c r="C153" s="3">
        <v>0</v>
      </c>
      <c r="D153" s="3">
        <v>0</v>
      </c>
      <c r="E153" s="3">
        <v>0</v>
      </c>
      <c r="F153" s="3">
        <v>0</v>
      </c>
      <c r="G153" s="3">
        <v>0</v>
      </c>
      <c r="H153" s="7">
        <f>((D153-C153)+(F153-E153))-Tabela1[[#This Row],[Expediente]]</f>
        <v>0</v>
      </c>
    </row>
    <row r="154" spans="1:8" x14ac:dyDescent="0.25">
      <c r="A154" s="2">
        <v>45838</v>
      </c>
      <c r="B154" s="4" t="str">
        <f t="shared" si="14"/>
        <v>segunda-feira</v>
      </c>
      <c r="C154" s="3">
        <v>0.31041666666666667</v>
      </c>
      <c r="D154" s="3">
        <v>0.50486111111111109</v>
      </c>
      <c r="E154" s="3">
        <v>0.57291666666666663</v>
      </c>
      <c r="F154" s="3">
        <v>0.77430555555555558</v>
      </c>
      <c r="G154" s="3">
        <v>0.36666666666666664</v>
      </c>
      <c r="H154" s="7">
        <f>((D154-C154)+(F154-E154))-Tabela1[[#This Row],[Expediente]]</f>
        <v>2.916666666666673E-2</v>
      </c>
    </row>
    <row r="155" spans="1:8" x14ac:dyDescent="0.25">
      <c r="A155" s="2">
        <v>45839</v>
      </c>
      <c r="B155" s="4" t="str">
        <f t="shared" si="14"/>
        <v>terça-feira</v>
      </c>
      <c r="C155" s="3">
        <v>0.30486111111111114</v>
      </c>
      <c r="D155" s="3">
        <v>0.50416666666666665</v>
      </c>
      <c r="E155" s="3">
        <v>0.55902777777777779</v>
      </c>
      <c r="F155" s="3">
        <v>0.75694444444444442</v>
      </c>
      <c r="G155" s="3">
        <v>0.36666666666666664</v>
      </c>
      <c r="H155" s="7">
        <f>((D155-C155)+(F155-E155))-Tabela1[[#This Row],[Expediente]]</f>
        <v>3.0555555555555503E-2</v>
      </c>
    </row>
    <row r="156" spans="1:8" x14ac:dyDescent="0.25">
      <c r="A156" s="2">
        <v>45840</v>
      </c>
      <c r="B156" s="4" t="str">
        <f t="shared" si="14"/>
        <v>quarta-feira</v>
      </c>
      <c r="C156" s="3">
        <v>0.30694444444444446</v>
      </c>
      <c r="D156" s="3">
        <v>0.52569444444444446</v>
      </c>
      <c r="E156" s="3">
        <v>0.56874999999999998</v>
      </c>
      <c r="F156" s="3">
        <v>0.74791666666666667</v>
      </c>
      <c r="G156" s="3">
        <v>0.36666666666666664</v>
      </c>
      <c r="H156" s="7">
        <f>((D156-C156)+(F156-E156))-Tabela1[[#This Row],[Expediente]]</f>
        <v>3.1250000000000056E-2</v>
      </c>
    </row>
    <row r="157" spans="1:8" x14ac:dyDescent="0.25">
      <c r="A157" s="2">
        <v>45841</v>
      </c>
      <c r="B157" s="4" t="str">
        <f t="shared" si="14"/>
        <v>quinta-feira</v>
      </c>
      <c r="C157" s="3">
        <v>0.30208333333333331</v>
      </c>
      <c r="D157" s="3">
        <v>0.52777777777777779</v>
      </c>
      <c r="E157" s="3">
        <v>0.57708333333333328</v>
      </c>
      <c r="F157" s="3">
        <v>0.75</v>
      </c>
      <c r="G157" s="3">
        <v>0.36666666666666664</v>
      </c>
      <c r="H157" s="7">
        <f>((D157-C157)+(F157-E157))-Tabela1[[#This Row],[Expediente]]</f>
        <v>3.1944444444444553E-2</v>
      </c>
    </row>
    <row r="158" spans="1:8" x14ac:dyDescent="0.25">
      <c r="A158" s="2">
        <v>45842</v>
      </c>
      <c r="B158" s="4" t="str">
        <f t="shared" si="14"/>
        <v>sexta-feira</v>
      </c>
      <c r="C158" s="3">
        <v>0.30416666666666664</v>
      </c>
      <c r="D158" s="3">
        <v>0.5229166666666667</v>
      </c>
      <c r="E158" s="3">
        <v>0.57291666666666663</v>
      </c>
      <c r="F158" s="3">
        <v>0.75138888888888888</v>
      </c>
      <c r="G158" s="3">
        <v>0.36666666666666664</v>
      </c>
      <c r="H158" s="7">
        <f>((D158-C158)+(F158-E158))-Tabela1[[#This Row],[Expediente]]</f>
        <v>3.0555555555555669E-2</v>
      </c>
    </row>
    <row r="159" spans="1:8" x14ac:dyDescent="0.25">
      <c r="A159" s="2">
        <v>45843</v>
      </c>
      <c r="B159" s="4" t="str">
        <f t="shared" si="14"/>
        <v>sábado</v>
      </c>
      <c r="C159" s="3">
        <v>0</v>
      </c>
      <c r="D159" s="3">
        <v>0</v>
      </c>
      <c r="E159" s="3">
        <v>0</v>
      </c>
      <c r="F159" s="3">
        <v>0</v>
      </c>
      <c r="G159" s="3">
        <v>0</v>
      </c>
      <c r="H159" s="7">
        <f>((D159-C159)+(F159-E159))-Tabela1[[#This Row],[Expediente]]</f>
        <v>0</v>
      </c>
    </row>
    <row r="160" spans="1:8" x14ac:dyDescent="0.25">
      <c r="A160" s="2">
        <v>45844</v>
      </c>
      <c r="B160" s="4" t="str">
        <f t="shared" si="14"/>
        <v>domingo</v>
      </c>
      <c r="C160" s="3">
        <v>0</v>
      </c>
      <c r="D160" s="3">
        <v>0</v>
      </c>
      <c r="E160" s="3">
        <v>0</v>
      </c>
      <c r="F160" s="3">
        <v>0</v>
      </c>
      <c r="G160" s="3">
        <v>0</v>
      </c>
      <c r="H160" s="7">
        <f>((D160-C160)+(F160-E160))-Tabela1[[#This Row],[Expediente]]</f>
        <v>0</v>
      </c>
    </row>
    <row r="161" spans="1:8" x14ac:dyDescent="0.25">
      <c r="A161" s="2">
        <v>45845</v>
      </c>
      <c r="B161" s="4" t="str">
        <f t="shared" si="14"/>
        <v>segunda-feira</v>
      </c>
      <c r="C161" s="3">
        <v>0.30555555555555558</v>
      </c>
      <c r="D161" s="3">
        <v>0.52083333333333337</v>
      </c>
      <c r="E161" s="3">
        <v>0.56388888888888888</v>
      </c>
      <c r="F161" s="3">
        <v>0.74513888888888891</v>
      </c>
      <c r="G161" s="3">
        <v>0.36666666666666664</v>
      </c>
      <c r="H161" s="7">
        <f>((D161-C161)+(F161-E161))-Tabela1[[#This Row],[Expediente]]</f>
        <v>2.9861111111111172E-2</v>
      </c>
    </row>
    <row r="162" spans="1:8" x14ac:dyDescent="0.25">
      <c r="A162" s="2">
        <v>45846</v>
      </c>
      <c r="B162" s="4" t="str">
        <f t="shared" si="14"/>
        <v>terça-feira</v>
      </c>
      <c r="C162" s="3">
        <v>0.30208333333333331</v>
      </c>
      <c r="D162" s="3">
        <v>0.5229166666666667</v>
      </c>
      <c r="E162" s="3">
        <v>0.57777777777777772</v>
      </c>
      <c r="F162" s="3">
        <v>0.7416666666666667</v>
      </c>
      <c r="G162" s="3">
        <v>0.36666666666666664</v>
      </c>
      <c r="H162" s="7">
        <f>((D162-C162)+(F162-E162))-Tabela1[[#This Row],[Expediente]]</f>
        <v>1.8055555555555713E-2</v>
      </c>
    </row>
    <row r="163" spans="1:8" x14ac:dyDescent="0.25">
      <c r="A163" s="2">
        <v>45847</v>
      </c>
      <c r="B163" s="4" t="str">
        <f t="shared" si="14"/>
        <v>quarta-feira</v>
      </c>
      <c r="C163" s="3">
        <v>0</v>
      </c>
      <c r="D163" s="3">
        <v>0</v>
      </c>
      <c r="E163" s="3">
        <v>0</v>
      </c>
      <c r="F163" s="3">
        <v>0</v>
      </c>
      <c r="G163" s="3">
        <v>0</v>
      </c>
      <c r="H163" s="7">
        <f>((D163-C163)+(F163-E163))-Tabela1[[#This Row],[Expediente]]</f>
        <v>0</v>
      </c>
    </row>
    <row r="164" spans="1:8" x14ac:dyDescent="0.25">
      <c r="A164" s="2">
        <v>45848</v>
      </c>
      <c r="B164" s="4" t="str">
        <f t="shared" si="14"/>
        <v>quinta-feira</v>
      </c>
      <c r="C164" s="3">
        <v>0.31180555555555556</v>
      </c>
      <c r="D164" s="3">
        <v>0.52569444444444446</v>
      </c>
      <c r="E164" s="3">
        <v>0.57013888888888886</v>
      </c>
      <c r="F164" s="3">
        <v>0.7416666666666667</v>
      </c>
      <c r="G164" s="3">
        <v>0.36666666666666664</v>
      </c>
      <c r="H164" s="7">
        <f>((D164-C164)+(F164-E164))-Tabela1[[#This Row],[Expediente]]</f>
        <v>1.87500000000001E-2</v>
      </c>
    </row>
    <row r="165" spans="1:8" x14ac:dyDescent="0.25">
      <c r="A165" s="2">
        <v>45849</v>
      </c>
      <c r="B165" s="4" t="str">
        <f t="shared" si="14"/>
        <v>sexta-feira</v>
      </c>
      <c r="C165" s="3">
        <v>0.31180555555555556</v>
      </c>
      <c r="D165" s="3">
        <v>0.52847222222222223</v>
      </c>
      <c r="E165" s="3">
        <v>0.57361111111111107</v>
      </c>
      <c r="F165" s="3">
        <v>0.74305555555555558</v>
      </c>
      <c r="G165" s="3">
        <v>0.36666666666666664</v>
      </c>
      <c r="H165" s="7">
        <f>((D165-C165)+(F165-E165))-Tabela1[[#This Row],[Expediente]]</f>
        <v>1.9444444444444542E-2</v>
      </c>
    </row>
    <row r="166" spans="1:8" x14ac:dyDescent="0.25">
      <c r="A166" s="2">
        <v>45850</v>
      </c>
      <c r="B166" s="4" t="str">
        <f t="shared" si="14"/>
        <v>sábado</v>
      </c>
      <c r="C166" s="3">
        <v>0</v>
      </c>
      <c r="D166" s="3">
        <v>0</v>
      </c>
      <c r="E166" s="3">
        <v>0</v>
      </c>
      <c r="F166" s="3">
        <v>0</v>
      </c>
      <c r="G166" s="3">
        <v>0</v>
      </c>
      <c r="H166" s="7">
        <f>((D166-C166)+(F166-E166))-Tabela1[[#This Row],[Expediente]]</f>
        <v>0</v>
      </c>
    </row>
    <row r="167" spans="1:8" x14ac:dyDescent="0.25">
      <c r="A167" s="2">
        <v>45851</v>
      </c>
      <c r="B167" s="4" t="str">
        <f t="shared" si="14"/>
        <v>domingo</v>
      </c>
      <c r="C167" s="3">
        <v>0</v>
      </c>
      <c r="D167" s="3">
        <v>0</v>
      </c>
      <c r="E167" s="3">
        <v>0</v>
      </c>
      <c r="F167" s="3">
        <v>0</v>
      </c>
      <c r="G167" s="3">
        <v>0</v>
      </c>
      <c r="H167" s="7">
        <f>((D167-C167)+(F167-E167))-Tabela1[[#This Row],[Expediente]]</f>
        <v>0</v>
      </c>
    </row>
    <row r="168" spans="1:8" x14ac:dyDescent="0.25">
      <c r="A168" s="2">
        <v>45852</v>
      </c>
      <c r="B168" s="4" t="str">
        <f t="shared" si="14"/>
        <v>segunda-feira</v>
      </c>
      <c r="C168" s="3">
        <v>0.29444444444444445</v>
      </c>
      <c r="D168" s="3">
        <v>0.52708333333333335</v>
      </c>
      <c r="E168" s="3">
        <v>0.57291666666666663</v>
      </c>
      <c r="F168" s="3">
        <v>0.75902777777777775</v>
      </c>
      <c r="G168" s="3">
        <v>0.36666666666666664</v>
      </c>
      <c r="H168" s="7">
        <f>((D168-C168)+(F168-E168))-Tabela1[[#This Row],[Expediente]]</f>
        <v>5.208333333333337E-2</v>
      </c>
    </row>
    <row r="169" spans="1:8" x14ac:dyDescent="0.25">
      <c r="A169" s="2">
        <v>45853</v>
      </c>
      <c r="B169" s="4" t="str">
        <f t="shared" si="14"/>
        <v>terça-feira</v>
      </c>
      <c r="C169" s="3">
        <v>0.31041666666666667</v>
      </c>
      <c r="D169" s="3">
        <v>0.52152777777777781</v>
      </c>
      <c r="E169" s="3">
        <v>0.56736111111111109</v>
      </c>
      <c r="F169" s="3">
        <v>0.74444444444444446</v>
      </c>
      <c r="G169" s="3">
        <v>0.36666666666666664</v>
      </c>
      <c r="H169" s="7">
        <f>((D169-C169)+(F169-E169))-Tabela1[[#This Row],[Expediente]]</f>
        <v>2.1527777777777868E-2</v>
      </c>
    </row>
    <row r="170" spans="1:8" x14ac:dyDescent="0.25">
      <c r="A170" s="2">
        <v>45854</v>
      </c>
      <c r="B170" s="4" t="str">
        <f t="shared" si="14"/>
        <v>quarta-feira</v>
      </c>
      <c r="C170" s="3">
        <v>0.30763888888888891</v>
      </c>
      <c r="D170" s="3">
        <v>0.52222222222222225</v>
      </c>
      <c r="E170" s="3">
        <v>0.57430555555555551</v>
      </c>
      <c r="F170" s="3">
        <v>0.74722222222222223</v>
      </c>
      <c r="G170" s="3">
        <v>0.36666666666666664</v>
      </c>
      <c r="H170" s="7">
        <f>((D170-C170)+(F170-E170))-Tabela1[[#This Row],[Expediente]]</f>
        <v>2.0833333333333426E-2</v>
      </c>
    </row>
    <row r="171" spans="1:8" x14ac:dyDescent="0.25">
      <c r="A171" s="2">
        <v>45855</v>
      </c>
      <c r="B171" s="4" t="str">
        <f t="shared" si="14"/>
        <v>quinta-feira</v>
      </c>
      <c r="C171" s="3">
        <v>0.30555555555555558</v>
      </c>
      <c r="D171" s="3">
        <v>0.51666666666666672</v>
      </c>
      <c r="E171" s="3">
        <v>0.57291666666666663</v>
      </c>
      <c r="F171" s="3">
        <v>0.74583333333333335</v>
      </c>
      <c r="G171" s="3">
        <v>0.36666666666666664</v>
      </c>
      <c r="H171" s="7">
        <f>((D171-C171)+(F171-E171))-Tabela1[[#This Row],[Expediente]]</f>
        <v>1.7361111111111216E-2</v>
      </c>
    </row>
    <row r="172" spans="1:8" x14ac:dyDescent="0.25">
      <c r="A172" s="2">
        <v>45856</v>
      </c>
      <c r="B172" s="4" t="str">
        <f t="shared" si="14"/>
        <v>sexta-feira</v>
      </c>
      <c r="C172" s="3">
        <v>0.3034722222222222</v>
      </c>
      <c r="D172" s="3">
        <v>0.52638888888888891</v>
      </c>
      <c r="E172" s="3">
        <v>0.5708333333333333</v>
      </c>
      <c r="F172" s="3">
        <v>0.7416666666666667</v>
      </c>
      <c r="G172" s="3">
        <v>0.36666666666666664</v>
      </c>
      <c r="H172" s="7">
        <f>((D172-C172)+(F172-E172))-Tabela1[[#This Row],[Expediente]]</f>
        <v>2.7083333333333459E-2</v>
      </c>
    </row>
    <row r="173" spans="1:8" x14ac:dyDescent="0.25">
      <c r="A173" s="2">
        <v>45857</v>
      </c>
      <c r="B173" s="4" t="str">
        <f t="shared" si="14"/>
        <v>sábado</v>
      </c>
      <c r="C173" s="3">
        <v>0</v>
      </c>
      <c r="D173" s="3">
        <v>0</v>
      </c>
      <c r="E173" s="3">
        <v>0</v>
      </c>
      <c r="F173" s="3">
        <v>0</v>
      </c>
      <c r="G173" s="3">
        <v>0</v>
      </c>
      <c r="H173" s="7">
        <f>((D173-C173)+(F173-E173))-Tabela1[[#This Row],[Expediente]]</f>
        <v>0</v>
      </c>
    </row>
    <row r="174" spans="1:8" x14ac:dyDescent="0.25">
      <c r="A174" s="2">
        <v>45858</v>
      </c>
      <c r="B174" s="4" t="str">
        <f t="shared" si="14"/>
        <v>domingo</v>
      </c>
      <c r="C174" s="3">
        <v>0</v>
      </c>
      <c r="D174" s="3">
        <v>0</v>
      </c>
      <c r="E174" s="3">
        <v>0</v>
      </c>
      <c r="F174" s="3">
        <v>0</v>
      </c>
      <c r="G174" s="3">
        <v>0</v>
      </c>
      <c r="H174" s="7">
        <f>((D174-C174)+(F174-E174))-Tabela1[[#This Row],[Expediente]]</f>
        <v>0</v>
      </c>
    </row>
    <row r="175" spans="1:8" x14ac:dyDescent="0.25">
      <c r="A175" s="2">
        <v>45859</v>
      </c>
      <c r="B175" s="4" t="str">
        <f t="shared" si="14"/>
        <v>segunda-feira</v>
      </c>
      <c r="C175" s="3">
        <v>0.30763888888888891</v>
      </c>
      <c r="D175" s="3">
        <v>0.51944444444444449</v>
      </c>
      <c r="E175" s="3">
        <v>0.5708333333333333</v>
      </c>
      <c r="F175" s="3">
        <v>0.7416666666666667</v>
      </c>
      <c r="G175" s="3">
        <v>0.36666666666666664</v>
      </c>
      <c r="H175" s="7">
        <f>((D175-C175)+(F175-E175))-Tabela1[[#This Row],[Expediente]]</f>
        <v>1.5972222222222332E-2</v>
      </c>
    </row>
    <row r="176" spans="1:8" x14ac:dyDescent="0.25">
      <c r="A176" s="2">
        <v>45860</v>
      </c>
      <c r="B176" s="4" t="str">
        <f t="shared" si="14"/>
        <v>terça-feira</v>
      </c>
      <c r="C176" s="3">
        <v>0.30555555555555558</v>
      </c>
      <c r="D176" s="3">
        <v>0.52361111111111114</v>
      </c>
      <c r="E176" s="3">
        <v>0.57013888888888886</v>
      </c>
      <c r="F176" s="3">
        <v>0.75902777777777775</v>
      </c>
      <c r="G176" s="3">
        <v>0.36666666666666664</v>
      </c>
      <c r="H176" s="7">
        <f>((D176-C176)+(F176-E176))-Tabela1[[#This Row],[Expediente]]</f>
        <v>4.0277777777777801E-2</v>
      </c>
    </row>
    <row r="177" spans="1:8" x14ac:dyDescent="0.25">
      <c r="A177" s="2">
        <v>45861</v>
      </c>
      <c r="B177" s="4" t="str">
        <f t="shared" si="14"/>
        <v>quarta-feira</v>
      </c>
      <c r="C177" s="3">
        <v>0.30763888888888891</v>
      </c>
      <c r="D177" s="3">
        <v>0.51736111111111116</v>
      </c>
      <c r="E177" s="3">
        <v>0.56944444444444442</v>
      </c>
      <c r="F177" s="3">
        <v>0.74583333333333335</v>
      </c>
      <c r="G177" s="3">
        <v>0.36666666666666664</v>
      </c>
      <c r="H177" s="7">
        <f>((D177-C177)+(F177-E177))-Tabela1[[#This Row],[Expediente]]</f>
        <v>1.9444444444444542E-2</v>
      </c>
    </row>
    <row r="178" spans="1:8" x14ac:dyDescent="0.25">
      <c r="A178" s="2">
        <v>45862</v>
      </c>
      <c r="B178" s="4" t="str">
        <f t="shared" si="14"/>
        <v>quinta-feira</v>
      </c>
      <c r="C178" s="3">
        <v>0.30694444444444446</v>
      </c>
      <c r="D178" s="3">
        <v>0.52361111111111114</v>
      </c>
      <c r="E178" s="3">
        <v>0.56874999999999998</v>
      </c>
      <c r="F178" s="3">
        <v>0.74652777777777779</v>
      </c>
      <c r="G178" s="3">
        <v>0.36666666666666664</v>
      </c>
      <c r="H178" s="7">
        <f>((D178-C178)+(F178-E178))-Tabela1[[#This Row],[Expediente]]</f>
        <v>2.7777777777777846E-2</v>
      </c>
    </row>
    <row r="179" spans="1:8" x14ac:dyDescent="0.25">
      <c r="A179" s="2">
        <v>45863</v>
      </c>
      <c r="B179" s="4" t="str">
        <f t="shared" si="14"/>
        <v>sexta-feira</v>
      </c>
      <c r="C179" s="3">
        <v>0.30486111111111114</v>
      </c>
      <c r="D179" s="3">
        <v>0.50347222222222221</v>
      </c>
      <c r="E179" s="3">
        <v>0.5625</v>
      </c>
      <c r="F179" s="3">
        <v>0.74652777777777779</v>
      </c>
      <c r="G179" s="3">
        <v>0.36666666666666664</v>
      </c>
      <c r="H179" s="7">
        <f>((D179-C179)+(F179-E179))-Tabela1[[#This Row],[Expediente]]</f>
        <v>1.5972222222222221E-2</v>
      </c>
    </row>
    <row r="180" spans="1:8" x14ac:dyDescent="0.25">
      <c r="A180" s="2">
        <v>45864</v>
      </c>
      <c r="B180" s="4" t="str">
        <f t="shared" si="14"/>
        <v>sábado</v>
      </c>
      <c r="C180" s="3">
        <v>0</v>
      </c>
      <c r="D180" s="3">
        <v>0</v>
      </c>
      <c r="E180" s="3">
        <v>0</v>
      </c>
      <c r="F180" s="3">
        <v>0</v>
      </c>
      <c r="G180" s="3">
        <v>0</v>
      </c>
      <c r="H180" s="7">
        <f>((D180-C180)+(F180-E180))-Tabela1[[#This Row],[Expediente]]</f>
        <v>0</v>
      </c>
    </row>
    <row r="181" spans="1:8" x14ac:dyDescent="0.25">
      <c r="A181" s="2">
        <v>45865</v>
      </c>
      <c r="B181" s="4" t="str">
        <f t="shared" si="14"/>
        <v>domingo</v>
      </c>
      <c r="C181" s="3">
        <v>0</v>
      </c>
      <c r="D181" s="3">
        <v>0</v>
      </c>
      <c r="E181" s="3">
        <v>0</v>
      </c>
      <c r="F181" s="3">
        <v>0</v>
      </c>
      <c r="G181" s="3">
        <v>0</v>
      </c>
      <c r="H181" s="7">
        <f>((D181-C181)+(F181-E181))-Tabela1[[#This Row],[Expediente]]</f>
        <v>0</v>
      </c>
    </row>
    <row r="182" spans="1:8" x14ac:dyDescent="0.25">
      <c r="A182" s="2">
        <v>45866</v>
      </c>
      <c r="B182" s="4" t="str">
        <f t="shared" si="14"/>
        <v>segunda-feira</v>
      </c>
      <c r="C182" s="3">
        <v>0.30694444444444446</v>
      </c>
      <c r="D182" s="3">
        <v>0.54166666666666663</v>
      </c>
      <c r="E182" s="3">
        <v>0.58750000000000002</v>
      </c>
      <c r="F182" s="3">
        <v>0.75347222222222221</v>
      </c>
      <c r="G182" s="3">
        <v>0.36666666666666664</v>
      </c>
      <c r="H182" s="7">
        <f>((D182-C182)+(F182-E182))-Tabela1[[#This Row],[Expediente]]</f>
        <v>3.4027777777777712E-2</v>
      </c>
    </row>
    <row r="183" spans="1:8" x14ac:dyDescent="0.25">
      <c r="A183" s="2">
        <v>45867</v>
      </c>
      <c r="B183" s="4" t="str">
        <f t="shared" si="14"/>
        <v>terça-feira</v>
      </c>
      <c r="C183" s="3">
        <v>0.30902777777777779</v>
      </c>
      <c r="D183" s="3">
        <v>0.52500000000000002</v>
      </c>
      <c r="E183" s="3">
        <v>0.56944444444444442</v>
      </c>
      <c r="F183" s="3">
        <v>0.74513888888888891</v>
      </c>
      <c r="G183" s="3">
        <v>0.36666666666666664</v>
      </c>
      <c r="H183" s="7">
        <f>((D183-C183)+(F183-E183))-Tabela1[[#This Row],[Expediente]]</f>
        <v>2.5000000000000078E-2</v>
      </c>
    </row>
    <row r="184" spans="1:8" x14ac:dyDescent="0.25">
      <c r="A184" s="2">
        <v>45868</v>
      </c>
      <c r="B184" s="4" t="str">
        <f t="shared" si="14"/>
        <v>quarta-feira</v>
      </c>
      <c r="C184" s="3">
        <v>0.30625000000000002</v>
      </c>
      <c r="D184" s="3">
        <v>0.52361111111111114</v>
      </c>
      <c r="E184" s="3">
        <v>0.57152777777777775</v>
      </c>
      <c r="F184" s="3">
        <v>0.7680555555555556</v>
      </c>
      <c r="G184" s="3">
        <v>0.36666666666666664</v>
      </c>
      <c r="H184" s="7">
        <f>((D184-C184)+(F184-E184))-Tabela1[[#This Row],[Expediente]]</f>
        <v>4.7222222222222332E-2</v>
      </c>
    </row>
    <row r="185" spans="1:8" x14ac:dyDescent="0.25">
      <c r="A185" s="2">
        <v>45869</v>
      </c>
      <c r="B185" s="4" t="str">
        <f t="shared" si="14"/>
        <v>quinta-feira</v>
      </c>
      <c r="C185" s="3">
        <v>0.30972222222222223</v>
      </c>
      <c r="D185" s="3">
        <v>0.52777777777777779</v>
      </c>
      <c r="E185" s="3">
        <v>0.57361111111111107</v>
      </c>
      <c r="F185" s="3">
        <v>0.74444444444444446</v>
      </c>
      <c r="G185" s="3">
        <v>0.36666666666666664</v>
      </c>
      <c r="H185" s="7">
        <f>((D185-C185)+(F185-E185))-Tabela1[[#This Row],[Expediente]]</f>
        <v>2.222222222222231E-2</v>
      </c>
    </row>
    <row r="186" spans="1:8" x14ac:dyDescent="0.25">
      <c r="A186" s="2">
        <v>45870</v>
      </c>
      <c r="B186" s="4" t="str">
        <f t="shared" si="14"/>
        <v>sexta-feira</v>
      </c>
      <c r="C186" s="3">
        <v>0.31180555555555556</v>
      </c>
      <c r="D186" s="3">
        <v>0.51875000000000004</v>
      </c>
      <c r="E186" s="3">
        <v>0.57013888888888886</v>
      </c>
      <c r="F186" s="3">
        <v>0.7416666666666667</v>
      </c>
      <c r="G186" s="3">
        <v>0.36666666666666664</v>
      </c>
      <c r="H186" s="7">
        <f>((D186-C186)+(F186-E186))-Tabela1[[#This Row],[Expediente]]</f>
        <v>1.180555555555568E-2</v>
      </c>
    </row>
    <row r="187" spans="1:8" x14ac:dyDescent="0.25">
      <c r="A187" s="2">
        <v>45871</v>
      </c>
      <c r="B187" s="4" t="str">
        <f t="shared" si="14"/>
        <v>sábado</v>
      </c>
      <c r="C187" s="3">
        <v>0</v>
      </c>
      <c r="D187" s="3">
        <v>0</v>
      </c>
      <c r="E187" s="3">
        <v>0</v>
      </c>
      <c r="F187" s="3">
        <v>0</v>
      </c>
      <c r="G187" s="3">
        <v>0</v>
      </c>
      <c r="H187" s="7">
        <f>((D187-C187)+(F187-E187))-Tabela1[[#This Row],[Expediente]]</f>
        <v>0</v>
      </c>
    </row>
    <row r="188" spans="1:8" x14ac:dyDescent="0.25">
      <c r="A188" s="2">
        <v>45872</v>
      </c>
      <c r="B188" s="4" t="str">
        <f t="shared" si="14"/>
        <v>domingo</v>
      </c>
      <c r="C188" s="3">
        <v>0</v>
      </c>
      <c r="D188" s="3">
        <v>0</v>
      </c>
      <c r="E188" s="3">
        <v>0</v>
      </c>
      <c r="F188" s="3">
        <v>0</v>
      </c>
      <c r="G188" s="3">
        <v>0</v>
      </c>
      <c r="H188" s="7">
        <f>((D188-C188)+(F188-E188))-Tabela1[[#This Row],[Expediente]]</f>
        <v>0</v>
      </c>
    </row>
    <row r="189" spans="1:8" x14ac:dyDescent="0.25">
      <c r="A189" s="2">
        <v>45873</v>
      </c>
      <c r="B189" s="4" t="str">
        <f t="shared" si="14"/>
        <v>segunda-feira</v>
      </c>
      <c r="C189" s="3">
        <v>0.30277777777777776</v>
      </c>
      <c r="D189" s="3">
        <v>0.5229166666666667</v>
      </c>
      <c r="E189" s="3">
        <v>0.56805555555555554</v>
      </c>
      <c r="F189" s="3">
        <v>0.75138888888888888</v>
      </c>
      <c r="G189" s="3">
        <v>0.36666666666666664</v>
      </c>
      <c r="H189" s="7">
        <f>((D189-C189)+(F189-E189))-Tabela1[[#This Row],[Expediente]]</f>
        <v>3.6805555555555647E-2</v>
      </c>
    </row>
    <row r="190" spans="1:8" x14ac:dyDescent="0.25">
      <c r="A190" s="2">
        <v>45874</v>
      </c>
      <c r="B190" s="4" t="str">
        <f t="shared" si="14"/>
        <v>terça-feira</v>
      </c>
      <c r="C190" s="3">
        <v>0.28958333333333336</v>
      </c>
      <c r="D190" s="3">
        <v>0.5625</v>
      </c>
      <c r="E190" s="3">
        <v>0.60069444444444442</v>
      </c>
      <c r="F190" s="3">
        <v>0.74375000000000002</v>
      </c>
      <c r="G190" s="3">
        <v>0.36666666666666664</v>
      </c>
      <c r="H190" s="7">
        <f>((D190-C190)+(F190-E190))-Tabela1[[#This Row],[Expediente]]</f>
        <v>4.9305555555555602E-2</v>
      </c>
    </row>
    <row r="191" spans="1:8" x14ac:dyDescent="0.25">
      <c r="A191" s="2">
        <v>45875</v>
      </c>
      <c r="B191" s="4" t="str">
        <f t="shared" si="14"/>
        <v>quarta-feira</v>
      </c>
      <c r="C191" s="3">
        <v>0</v>
      </c>
      <c r="D191" s="3">
        <v>0</v>
      </c>
      <c r="E191" s="3">
        <v>0</v>
      </c>
      <c r="F191" s="3">
        <v>0</v>
      </c>
      <c r="G191" s="3">
        <v>0</v>
      </c>
      <c r="H191" s="7">
        <f>((D191-C191)+(F191-E191))-Tabela1[[#This Row],[Expediente]]</f>
        <v>0</v>
      </c>
    </row>
    <row r="192" spans="1:8" x14ac:dyDescent="0.25">
      <c r="A192" s="2">
        <v>45876</v>
      </c>
      <c r="B192" s="4" t="str">
        <f t="shared" si="14"/>
        <v>quinta-feira</v>
      </c>
      <c r="C192" s="3">
        <v>0.30902777777777779</v>
      </c>
      <c r="D192" s="3">
        <v>0.51944444444444449</v>
      </c>
      <c r="E192" s="3">
        <v>0.57291666666666663</v>
      </c>
      <c r="F192" s="3">
        <v>0.74722222222222223</v>
      </c>
      <c r="G192" s="3">
        <v>0.36666666666666664</v>
      </c>
      <c r="H192" s="7">
        <f>((D192-C192)+(F192-E192))-Tabela1[[#This Row],[Expediente]]</f>
        <v>1.8055555555555658E-2</v>
      </c>
    </row>
    <row r="193" spans="1:8" x14ac:dyDescent="0.25">
      <c r="A193" s="2">
        <v>45877</v>
      </c>
      <c r="B193" s="4" t="str">
        <f t="shared" si="14"/>
        <v>sexta-feira</v>
      </c>
      <c r="C193" s="3">
        <v>0.30416666666666664</v>
      </c>
      <c r="D193" s="3">
        <v>0.52222222222222225</v>
      </c>
      <c r="E193" s="3">
        <v>0.57222222222222219</v>
      </c>
      <c r="F193" s="3">
        <v>0.7416666666666667</v>
      </c>
      <c r="G193" s="3">
        <v>0.36666666666666664</v>
      </c>
      <c r="H193" s="7">
        <f>((D193-C193)+(F193-E193))-Tabela1[[#This Row],[Expediente]]</f>
        <v>2.0833333333333481E-2</v>
      </c>
    </row>
    <row r="194" spans="1:8" x14ac:dyDescent="0.25">
      <c r="A194" s="2">
        <v>45878</v>
      </c>
      <c r="B194" s="4" t="str">
        <f t="shared" si="14"/>
        <v>sábado</v>
      </c>
      <c r="C194" s="3">
        <v>0</v>
      </c>
      <c r="D194" s="3">
        <v>0</v>
      </c>
      <c r="E194" s="3">
        <v>0</v>
      </c>
      <c r="F194" s="3">
        <v>0</v>
      </c>
      <c r="G194" s="3">
        <v>0</v>
      </c>
      <c r="H194" s="7">
        <f>((D194-C194)+(F194-E194))-Tabela1[[#This Row],[Expediente]]</f>
        <v>0</v>
      </c>
    </row>
    <row r="195" spans="1:8" x14ac:dyDescent="0.25">
      <c r="A195" s="2">
        <v>45879</v>
      </c>
      <c r="B195" s="4" t="str">
        <f t="shared" si="14"/>
        <v>domingo</v>
      </c>
      <c r="C195" s="3">
        <v>0</v>
      </c>
      <c r="D195" s="3">
        <v>0</v>
      </c>
      <c r="E195" s="3">
        <v>0</v>
      </c>
      <c r="F195" s="3">
        <v>0</v>
      </c>
      <c r="G195" s="3">
        <v>0</v>
      </c>
      <c r="H195" s="7">
        <f>((D195-C195)+(F195-E195))-Tabela1[[#This Row],[Expediente]]</f>
        <v>0</v>
      </c>
    </row>
    <row r="196" spans="1:8" x14ac:dyDescent="0.25">
      <c r="A196" s="2">
        <v>45880</v>
      </c>
      <c r="B196" s="4" t="str">
        <f t="shared" si="14"/>
        <v>segunda-feira</v>
      </c>
      <c r="C196" s="3">
        <v>0.30555555555555558</v>
      </c>
      <c r="D196" s="3">
        <v>0.53263888888888888</v>
      </c>
      <c r="E196" s="3">
        <v>0.57986111111111116</v>
      </c>
      <c r="F196" s="3">
        <v>0.76666666666666672</v>
      </c>
      <c r="G196" s="3">
        <v>0.36666666666666664</v>
      </c>
      <c r="H196" s="7">
        <f>((D196-C196)+(F196-E196))-Tabela1[[#This Row],[Expediente]]</f>
        <v>4.7222222222222221E-2</v>
      </c>
    </row>
    <row r="197" spans="1:8" x14ac:dyDescent="0.25">
      <c r="A197" s="2">
        <v>45881</v>
      </c>
      <c r="B197" s="4" t="str">
        <f t="shared" si="14"/>
        <v>terça-feira</v>
      </c>
      <c r="C197" s="3">
        <v>0.30833333333333335</v>
      </c>
      <c r="D197" s="3">
        <v>0.52013888888888893</v>
      </c>
      <c r="E197" s="3">
        <v>0.57777777777777772</v>
      </c>
      <c r="F197" s="3">
        <v>0.74722222222222223</v>
      </c>
      <c r="G197" s="3">
        <v>0.36666666666666664</v>
      </c>
      <c r="H197" s="7">
        <f>((D197-C197)+(F197-E197))-Tabela1[[#This Row],[Expediente]]</f>
        <v>1.4583333333333448E-2</v>
      </c>
    </row>
    <row r="198" spans="1:8" x14ac:dyDescent="0.25">
      <c r="A198" s="2">
        <v>45882</v>
      </c>
      <c r="B198" s="4" t="str">
        <f t="shared" si="14"/>
        <v>quarta-feira</v>
      </c>
      <c r="C198" s="3">
        <v>0.30972222222222223</v>
      </c>
      <c r="D198" s="3">
        <v>0.52569444444444446</v>
      </c>
      <c r="E198" s="3">
        <v>0.56874999999999998</v>
      </c>
      <c r="F198" s="3">
        <v>0.74375000000000002</v>
      </c>
      <c r="G198" s="3">
        <v>0.36666666666666664</v>
      </c>
      <c r="H198" s="7">
        <f>((D198-C198)+(F198-E198))-Tabela1[[#This Row],[Expediente]]</f>
        <v>2.4305555555555636E-2</v>
      </c>
    </row>
    <row r="199" spans="1:8" x14ac:dyDescent="0.25">
      <c r="A199" s="2">
        <v>45883</v>
      </c>
      <c r="B199" s="4" t="str">
        <f t="shared" si="14"/>
        <v>quinta-feira</v>
      </c>
      <c r="C199" s="3">
        <v>0.30902777777777779</v>
      </c>
      <c r="D199" s="3">
        <v>0.53194444444444444</v>
      </c>
      <c r="E199" s="3">
        <v>0.58402777777777781</v>
      </c>
      <c r="F199" s="3">
        <v>0.74236111111111114</v>
      </c>
      <c r="G199" s="3">
        <v>0.36666666666666664</v>
      </c>
      <c r="H199" s="7">
        <f>((D199-C199)+(F199-E199))-Tabela1[[#This Row],[Expediente]]</f>
        <v>1.4583333333333337E-2</v>
      </c>
    </row>
    <row r="200" spans="1:8" x14ac:dyDescent="0.25">
      <c r="A200" s="2">
        <v>45884</v>
      </c>
      <c r="B200" s="4" t="str">
        <f t="shared" si="14"/>
        <v>sexta-feira</v>
      </c>
      <c r="C200" s="3">
        <v>0.30902777777777779</v>
      </c>
      <c r="D200" s="3">
        <v>0.52569444444444446</v>
      </c>
      <c r="E200" s="3">
        <v>0.57916666666666672</v>
      </c>
      <c r="F200" s="3">
        <v>0.75763888888888886</v>
      </c>
      <c r="G200" s="3">
        <v>0.36666666666666664</v>
      </c>
      <c r="H200" s="7">
        <f>((D200-C200)+(F200-E200))-Tabela1[[#This Row],[Expediente]]</f>
        <v>2.8472222222222177E-2</v>
      </c>
    </row>
    <row r="201" spans="1:8" x14ac:dyDescent="0.25">
      <c r="A201" s="2">
        <v>45885</v>
      </c>
      <c r="B201" s="4" t="str">
        <f t="shared" si="14"/>
        <v>sábado</v>
      </c>
      <c r="C201" s="3">
        <v>0</v>
      </c>
      <c r="D201" s="3">
        <v>0</v>
      </c>
      <c r="E201" s="3">
        <v>0</v>
      </c>
      <c r="F201" s="3">
        <v>0</v>
      </c>
      <c r="G201" s="3">
        <v>0</v>
      </c>
      <c r="H201" s="7">
        <f>((D201-C201)+(F201-E201))-Tabela1[[#This Row],[Expediente]]</f>
        <v>0</v>
      </c>
    </row>
    <row r="202" spans="1:8" x14ac:dyDescent="0.25">
      <c r="A202" s="2">
        <v>45886</v>
      </c>
      <c r="B202" s="4" t="str">
        <f t="shared" si="14"/>
        <v>domingo</v>
      </c>
      <c r="C202" s="3">
        <v>0</v>
      </c>
      <c r="D202" s="3">
        <v>0</v>
      </c>
      <c r="E202" s="3">
        <v>0</v>
      </c>
      <c r="F202" s="3">
        <v>0</v>
      </c>
      <c r="G202" s="3">
        <v>0</v>
      </c>
      <c r="H202" s="7">
        <f>((D202-C202)+(F202-E202))-Tabela1[[#This Row],[Expediente]]</f>
        <v>0</v>
      </c>
    </row>
    <row r="203" spans="1:8" x14ac:dyDescent="0.25">
      <c r="A203" s="2">
        <v>45887</v>
      </c>
      <c r="B203" s="4" t="str">
        <f t="shared" si="14"/>
        <v>segunda-feira</v>
      </c>
      <c r="C203" s="3">
        <v>0.30486111111111114</v>
      </c>
      <c r="D203" s="3">
        <v>0.52916666666666667</v>
      </c>
      <c r="E203" s="3">
        <v>0.56736111111111109</v>
      </c>
      <c r="F203" s="3">
        <v>0.74791666666666667</v>
      </c>
      <c r="G203" s="3">
        <v>0.36666666666666664</v>
      </c>
      <c r="H203" s="7">
        <f>((D203-C203)+(F203-E203))-Tabela1[[#This Row],[Expediente]]</f>
        <v>3.8194444444444475E-2</v>
      </c>
    </row>
    <row r="204" spans="1:8" x14ac:dyDescent="0.25">
      <c r="A204" s="2">
        <v>45888</v>
      </c>
      <c r="B204" s="4" t="str">
        <f t="shared" si="14"/>
        <v>terça-feira</v>
      </c>
      <c r="C204" s="3">
        <v>0.30833333333333335</v>
      </c>
      <c r="D204" s="3">
        <v>0.54861111111111116</v>
      </c>
      <c r="E204" s="3">
        <v>0.6</v>
      </c>
      <c r="F204" s="3">
        <v>0.75555555555555554</v>
      </c>
      <c r="G204" s="3">
        <v>0.36666666666666664</v>
      </c>
      <c r="H204" s="7">
        <f>((D204-C204)+(F204-E204))-Tabela1[[#This Row],[Expediente]]</f>
        <v>2.916666666666673E-2</v>
      </c>
    </row>
    <row r="205" spans="1:8" x14ac:dyDescent="0.25">
      <c r="A205" s="2">
        <v>45889</v>
      </c>
      <c r="B205" s="4" t="str">
        <f t="shared" si="14"/>
        <v>quarta-feira</v>
      </c>
      <c r="C205" s="3">
        <v>0.30486111111111114</v>
      </c>
      <c r="D205" s="3">
        <v>0.53472222222222221</v>
      </c>
      <c r="E205" s="3">
        <v>0.57430555555555551</v>
      </c>
      <c r="F205" s="3">
        <v>0.75972222222222219</v>
      </c>
      <c r="G205" s="3">
        <v>0.36666666666666664</v>
      </c>
      <c r="H205" s="7">
        <f>((D205-C205)+(F205-E205))-Tabela1[[#This Row],[Expediente]]</f>
        <v>4.8611111111111105E-2</v>
      </c>
    </row>
    <row r="206" spans="1:8" x14ac:dyDescent="0.25">
      <c r="A206" s="2">
        <v>45890</v>
      </c>
      <c r="B206" s="4" t="str">
        <f t="shared" si="14"/>
        <v>quinta-feira</v>
      </c>
      <c r="C206" s="3">
        <v>0.31111111111111112</v>
      </c>
      <c r="D206" s="3">
        <v>0.52708333333333335</v>
      </c>
      <c r="E206" s="3">
        <v>0.57916666666666672</v>
      </c>
      <c r="F206" s="3">
        <v>0.74513888888888891</v>
      </c>
      <c r="G206" s="3">
        <v>0.36666666666666664</v>
      </c>
      <c r="H206" s="7">
        <f>((D206-C206)+(F206-E206))-Tabela1[[#This Row],[Expediente]]</f>
        <v>1.5277777777777779E-2</v>
      </c>
    </row>
    <row r="207" spans="1:8" x14ac:dyDescent="0.25">
      <c r="A207" s="2">
        <v>45891</v>
      </c>
      <c r="B207" s="4" t="str">
        <f t="shared" si="14"/>
        <v>sexta-feira</v>
      </c>
      <c r="C207" s="3">
        <v>0.30416666666666664</v>
      </c>
      <c r="D207" s="3">
        <v>0.5131944444444444</v>
      </c>
      <c r="E207" s="3">
        <v>0.57013888888888886</v>
      </c>
      <c r="F207" s="3">
        <v>0.7583333333333333</v>
      </c>
      <c r="G207" s="3">
        <v>0.36666666666666664</v>
      </c>
      <c r="H207" s="7">
        <f>((D207-C207)+(F207-E207))-Tabela1[[#This Row],[Expediente]]</f>
        <v>3.0555555555555558E-2</v>
      </c>
    </row>
    <row r="208" spans="1:8" x14ac:dyDescent="0.25">
      <c r="A208" s="2">
        <v>45892</v>
      </c>
      <c r="B208" s="4" t="str">
        <f t="shared" si="14"/>
        <v>sábado</v>
      </c>
      <c r="C208" s="3">
        <v>0</v>
      </c>
      <c r="D208" s="3">
        <v>0</v>
      </c>
      <c r="E208" s="3">
        <v>0</v>
      </c>
      <c r="F208" s="3">
        <v>0</v>
      </c>
      <c r="G208" s="3">
        <v>0</v>
      </c>
      <c r="H208" s="7">
        <f>((D208-C208)+(F208-E208))-Tabela1[[#This Row],[Expediente]]</f>
        <v>0</v>
      </c>
    </row>
    <row r="209" spans="1:8" x14ac:dyDescent="0.25">
      <c r="A209" s="2">
        <v>45893</v>
      </c>
      <c r="B209" s="4" t="str">
        <f t="shared" si="14"/>
        <v>domingo</v>
      </c>
      <c r="C209" s="3">
        <v>0</v>
      </c>
      <c r="D209" s="3">
        <v>0</v>
      </c>
      <c r="E209" s="3">
        <v>0</v>
      </c>
      <c r="F209" s="3">
        <v>0</v>
      </c>
      <c r="G209" s="3">
        <v>0</v>
      </c>
      <c r="H209" s="7">
        <f>((D209-C209)+(F209-E209))-Tabela1[[#This Row],[Expediente]]</f>
        <v>0</v>
      </c>
    </row>
    <row r="210" spans="1:8" x14ac:dyDescent="0.25">
      <c r="A210" s="2">
        <v>45894</v>
      </c>
      <c r="B210" s="4" t="str">
        <f t="shared" si="14"/>
        <v>segunda-feira</v>
      </c>
      <c r="C210" s="3">
        <v>0.30833333333333335</v>
      </c>
      <c r="D210" s="3">
        <v>0.51875000000000004</v>
      </c>
      <c r="E210" s="3">
        <v>0.55347222222222225</v>
      </c>
      <c r="F210" s="3">
        <v>0.74861111111111112</v>
      </c>
      <c r="G210" s="3">
        <v>0.36666666666666664</v>
      </c>
      <c r="H210" s="7">
        <f>((D210-C210)+(F210-E210))-Tabela1[[#This Row],[Expediente]]</f>
        <v>3.8888888888888917E-2</v>
      </c>
    </row>
    <row r="211" spans="1:8" x14ac:dyDescent="0.25">
      <c r="A211" s="2">
        <v>45895</v>
      </c>
      <c r="B211" s="4" t="str">
        <f t="shared" si="14"/>
        <v>terça-feira</v>
      </c>
      <c r="C211" s="3">
        <v>0.30833333333333335</v>
      </c>
      <c r="D211" s="3">
        <v>0.53125</v>
      </c>
      <c r="E211" s="3">
        <v>0.57499999999999996</v>
      </c>
      <c r="F211" s="3">
        <v>0.75555555555555554</v>
      </c>
      <c r="G211" s="3">
        <v>0.36666666666666664</v>
      </c>
      <c r="H211" s="7">
        <f>((D211-C211)+(F211-E211))-Tabela1[[#This Row],[Expediente]]</f>
        <v>3.6805555555555591E-2</v>
      </c>
    </row>
    <row r="212" spans="1:8" x14ac:dyDescent="0.25">
      <c r="A212" s="2">
        <v>45896</v>
      </c>
      <c r="B212" s="4" t="str">
        <f t="shared" si="14"/>
        <v>quarta-feira</v>
      </c>
      <c r="C212" s="3">
        <v>0.29305555555555557</v>
      </c>
      <c r="D212" s="3">
        <v>0.54097222222222219</v>
      </c>
      <c r="E212" s="3">
        <v>0.59513888888888888</v>
      </c>
      <c r="F212" s="3">
        <v>0.74444444444444446</v>
      </c>
      <c r="G212" s="3">
        <v>0.36666666666666664</v>
      </c>
      <c r="H212" s="7">
        <f>((D212-C212)+(F212-E212))-Tabela1[[#This Row],[Expediente]]</f>
        <v>3.0555555555555558E-2</v>
      </c>
    </row>
    <row r="213" spans="1:8" x14ac:dyDescent="0.25">
      <c r="A213" s="2">
        <v>45897</v>
      </c>
      <c r="B213" s="4" t="str">
        <f t="shared" si="14"/>
        <v>quinta-feira</v>
      </c>
      <c r="C213" s="3">
        <v>0.31111111111111112</v>
      </c>
      <c r="D213" s="3">
        <v>0.52361111111111114</v>
      </c>
      <c r="E213" s="3">
        <v>0.57291666666666663</v>
      </c>
      <c r="F213" s="3">
        <v>0.74861111111111112</v>
      </c>
      <c r="G213" s="3">
        <v>0.36666666666666664</v>
      </c>
      <c r="H213" s="7">
        <f>((D213-C213)+(F213-E213))-Tabela1[[#This Row],[Expediente]]</f>
        <v>2.1527777777777868E-2</v>
      </c>
    </row>
    <row r="214" spans="1:8" x14ac:dyDescent="0.25">
      <c r="A214" s="2">
        <v>45898</v>
      </c>
      <c r="B214" s="4" t="str">
        <f t="shared" ref="B214:B228" si="15">TEXT(A214,"dddd")</f>
        <v>sexta-feira</v>
      </c>
      <c r="C214" s="3">
        <v>0.29166666666666669</v>
      </c>
      <c r="D214" s="3">
        <v>0.51875000000000004</v>
      </c>
      <c r="E214" s="3">
        <v>0.56805555555555554</v>
      </c>
      <c r="F214" s="3">
        <v>0.74652777777777779</v>
      </c>
      <c r="G214" s="3">
        <v>0.36666666666666664</v>
      </c>
      <c r="H214" s="7">
        <f>((D214-C214)+(F214-E214))-Tabela1[[#This Row],[Expediente]]</f>
        <v>3.8888888888888973E-2</v>
      </c>
    </row>
    <row r="215" spans="1:8" x14ac:dyDescent="0.25">
      <c r="A215" s="2">
        <v>45899</v>
      </c>
      <c r="B215" s="4" t="str">
        <f t="shared" si="15"/>
        <v>sábado</v>
      </c>
      <c r="C215" s="3">
        <v>0</v>
      </c>
      <c r="D215" s="3">
        <v>0</v>
      </c>
      <c r="E215" s="3">
        <v>0</v>
      </c>
      <c r="F215" s="3">
        <v>0</v>
      </c>
      <c r="G215" s="3">
        <v>0</v>
      </c>
      <c r="H215" s="7">
        <f>((D215-C215)+(F215-E215))-Tabela1[[#This Row],[Expediente]]</f>
        <v>0</v>
      </c>
    </row>
    <row r="216" spans="1:8" x14ac:dyDescent="0.25">
      <c r="A216" s="2">
        <v>45900</v>
      </c>
      <c r="B216" s="4" t="str">
        <f t="shared" si="15"/>
        <v>domingo</v>
      </c>
      <c r="C216" s="3">
        <v>0</v>
      </c>
      <c r="D216" s="3">
        <v>0</v>
      </c>
      <c r="E216" s="3">
        <v>0</v>
      </c>
      <c r="F216" s="3">
        <v>0</v>
      </c>
      <c r="G216" s="3">
        <v>0</v>
      </c>
      <c r="H216" s="7">
        <f>((D216-C216)+(F216-E216))-Tabela1[[#This Row],[Expediente]]</f>
        <v>0</v>
      </c>
    </row>
    <row r="217" spans="1:8" x14ac:dyDescent="0.25">
      <c r="A217" s="2">
        <v>45901</v>
      </c>
      <c r="B217" s="4" t="str">
        <f t="shared" si="15"/>
        <v>segunda-feira</v>
      </c>
      <c r="C217" s="3">
        <v>0.30069444444444443</v>
      </c>
      <c r="D217" s="3">
        <v>0.51666666666666672</v>
      </c>
      <c r="E217" s="3">
        <v>0.57708333333333328</v>
      </c>
      <c r="F217" s="3">
        <v>0.74791666666666667</v>
      </c>
      <c r="G217" s="3">
        <v>0.36666666666666664</v>
      </c>
      <c r="H217" s="7">
        <f>((D217-C217)+(F217-E217))-Tabela1[[#This Row],[Expediente]]</f>
        <v>2.0138888888889039E-2</v>
      </c>
    </row>
    <row r="218" spans="1:8" x14ac:dyDescent="0.25">
      <c r="A218" s="2">
        <v>45902</v>
      </c>
      <c r="B218" s="4" t="str">
        <f t="shared" si="15"/>
        <v>terça-feira</v>
      </c>
      <c r="C218" s="3">
        <v>0.2986111111111111</v>
      </c>
      <c r="D218" s="3">
        <v>0.52916666666666667</v>
      </c>
      <c r="E218" s="3">
        <v>0.57499999999999996</v>
      </c>
      <c r="F218" s="3">
        <v>0.76458333333333328</v>
      </c>
      <c r="G218" s="3">
        <v>0.36666666666666664</v>
      </c>
      <c r="H218" s="7">
        <f>((D218-C218)+(F218-E218))-Tabela1[[#This Row],[Expediente]]</f>
        <v>5.3472222222222254E-2</v>
      </c>
    </row>
    <row r="219" spans="1:8" x14ac:dyDescent="0.25">
      <c r="A219" s="2">
        <v>45903</v>
      </c>
      <c r="B219" s="4" t="str">
        <f t="shared" si="15"/>
        <v>quarta-feira</v>
      </c>
      <c r="C219" s="3">
        <v>0.30555555555555558</v>
      </c>
      <c r="D219" s="3">
        <v>0.52708333333333335</v>
      </c>
      <c r="E219" s="3">
        <v>0.57013888888888886</v>
      </c>
      <c r="F219" s="3">
        <v>0.76458333333333328</v>
      </c>
      <c r="G219" s="3">
        <v>0.36666666666666664</v>
      </c>
      <c r="H219" s="7">
        <f>((D219-C219)+(F219-E219))-Tabela1[[#This Row],[Expediente]]</f>
        <v>4.9305555555555547E-2</v>
      </c>
    </row>
    <row r="220" spans="1:8" x14ac:dyDescent="0.25">
      <c r="A220" s="2">
        <v>45904</v>
      </c>
      <c r="B220" s="4" t="str">
        <f t="shared" si="15"/>
        <v>quinta-feira</v>
      </c>
      <c r="C220" s="3">
        <v>0.30069444444444443</v>
      </c>
      <c r="D220" s="3">
        <v>0.52152777777777781</v>
      </c>
      <c r="E220" s="3">
        <v>0.57361111111111107</v>
      </c>
      <c r="F220" s="3">
        <v>0.74930555555555556</v>
      </c>
      <c r="G220" s="3">
        <v>0.36666666666666664</v>
      </c>
      <c r="H220" s="7">
        <f>((D220-C220)+(F220-E220))-Tabela1[[#This Row],[Expediente]]</f>
        <v>2.9861111111111227E-2</v>
      </c>
    </row>
    <row r="221" spans="1:8" x14ac:dyDescent="0.25">
      <c r="A221" s="2">
        <v>45905</v>
      </c>
      <c r="B221" s="4" t="str">
        <f t="shared" si="15"/>
        <v>sexta-feira</v>
      </c>
      <c r="C221" s="3">
        <v>0.30555555555555558</v>
      </c>
      <c r="D221" s="3">
        <v>0.52569444444444446</v>
      </c>
      <c r="E221" s="3">
        <v>0.57430555555555551</v>
      </c>
      <c r="F221" s="3">
        <v>0.7416666666666667</v>
      </c>
      <c r="G221" s="3">
        <v>0.36666666666666664</v>
      </c>
      <c r="H221" s="7">
        <f>((D221-C221)+(F221-E221))-Tabela1[[#This Row],[Expediente]]</f>
        <v>2.0833333333333426E-2</v>
      </c>
    </row>
    <row r="222" spans="1:8" x14ac:dyDescent="0.25">
      <c r="A222" s="2">
        <v>45906</v>
      </c>
      <c r="B222" s="4" t="str">
        <f t="shared" si="15"/>
        <v>sábado</v>
      </c>
      <c r="C222" s="3">
        <v>0.30486111111111114</v>
      </c>
      <c r="D222" s="3">
        <v>0.59027777777777779</v>
      </c>
      <c r="E222" s="3">
        <v>0</v>
      </c>
      <c r="F222" s="3">
        <v>0</v>
      </c>
      <c r="G222" s="3">
        <v>0</v>
      </c>
      <c r="H222" s="7">
        <f>((D222-C222)+(F222-E222))-Tabela1[[#This Row],[Expediente]]</f>
        <v>0.28541666666666665</v>
      </c>
    </row>
    <row r="223" spans="1:8" x14ac:dyDescent="0.25">
      <c r="A223" s="2">
        <v>45907</v>
      </c>
      <c r="B223" s="4" t="str">
        <f t="shared" si="15"/>
        <v>domingo</v>
      </c>
      <c r="C223" s="3">
        <v>0</v>
      </c>
      <c r="D223" s="3">
        <v>0</v>
      </c>
      <c r="E223" s="3">
        <v>0</v>
      </c>
      <c r="F223" s="3">
        <v>0</v>
      </c>
      <c r="G223" s="3">
        <v>0</v>
      </c>
      <c r="H223" s="7">
        <f>((D223-C223)+(F223-E223))-Tabela1[[#This Row],[Expediente]]</f>
        <v>0</v>
      </c>
    </row>
    <row r="224" spans="1:8" x14ac:dyDescent="0.25">
      <c r="A224" s="2">
        <v>45908</v>
      </c>
      <c r="B224" s="4" t="str">
        <f t="shared" si="15"/>
        <v>segunda-feira</v>
      </c>
      <c r="C224" s="8">
        <v>0.30416666666666664</v>
      </c>
      <c r="D224" s="8">
        <v>0.53749999999999998</v>
      </c>
      <c r="E224" s="8">
        <v>0.59583333333333333</v>
      </c>
      <c r="F224" s="8">
        <v>0.75972222222222219</v>
      </c>
      <c r="G224" s="8">
        <v>0.36666666666666664</v>
      </c>
      <c r="H224" s="7">
        <f>((D224-C224)+(F224-E224))-Tabela1[[#This Row],[Expediente]]</f>
        <v>3.0555555555555558E-2</v>
      </c>
    </row>
    <row r="225" spans="1:8" x14ac:dyDescent="0.25">
      <c r="A225" s="2">
        <v>45909</v>
      </c>
      <c r="B225" s="4" t="str">
        <f t="shared" si="15"/>
        <v>terça-feira</v>
      </c>
      <c r="C225" s="8">
        <v>0.3034722222222222</v>
      </c>
      <c r="D225" s="8">
        <v>0.53611111111111109</v>
      </c>
      <c r="E225" s="8">
        <v>0.58680555555555558</v>
      </c>
      <c r="F225" s="8">
        <v>0.73611111111111116</v>
      </c>
      <c r="G225" s="8">
        <v>0.36666666666666664</v>
      </c>
      <c r="H225" s="7">
        <f>((D225-C225)+(F225-E225))-Tabela1[[#This Row],[Expediente]]</f>
        <v>1.5277777777777835E-2</v>
      </c>
    </row>
    <row r="226" spans="1:8" x14ac:dyDescent="0.25">
      <c r="A226" s="2">
        <v>45910</v>
      </c>
      <c r="B226" s="4" t="str">
        <f t="shared" si="15"/>
        <v>quarta-feira</v>
      </c>
      <c r="C226" s="8">
        <v>0.3034722222222222</v>
      </c>
      <c r="D226" s="8">
        <v>0.52222222222222225</v>
      </c>
      <c r="E226" s="8">
        <v>0.57222222222222219</v>
      </c>
      <c r="F226" s="8">
        <v>0.74027777777777781</v>
      </c>
      <c r="G226" s="8">
        <v>0.36666666666666664</v>
      </c>
      <c r="H226" s="7">
        <f>((D226-C226)+(F226-E226))-Tabela1[[#This Row],[Expediente]]</f>
        <v>2.0138888888889039E-2</v>
      </c>
    </row>
    <row r="227" spans="1:8" x14ac:dyDescent="0.25">
      <c r="A227" s="2">
        <v>45911</v>
      </c>
      <c r="B227" s="4" t="str">
        <f t="shared" si="15"/>
        <v>quinta-feira</v>
      </c>
      <c r="C227" s="8">
        <v>0.3</v>
      </c>
      <c r="D227" s="8">
        <v>0.51944444444444449</v>
      </c>
      <c r="E227" s="8">
        <v>0.57222222222222219</v>
      </c>
      <c r="F227" s="8">
        <v>0.74305555555555558</v>
      </c>
      <c r="G227" s="8">
        <v>0.36666666666666664</v>
      </c>
      <c r="H227" s="7">
        <f>((D227-C227)+(F227-E227))-Tabela1[[#This Row],[Expediente]]</f>
        <v>2.3611111111111249E-2</v>
      </c>
    </row>
    <row r="228" spans="1:8" x14ac:dyDescent="0.25">
      <c r="A228" s="2">
        <v>45912</v>
      </c>
      <c r="B228" s="4" t="str">
        <f t="shared" si="15"/>
        <v>sexta-feira</v>
      </c>
      <c r="C228" s="8">
        <v>0.30277777777777776</v>
      </c>
      <c r="D228" s="8">
        <v>0.52361111111111114</v>
      </c>
      <c r="E228" s="8">
        <v>0.57708333333333328</v>
      </c>
      <c r="F228" s="8">
        <v>0.74027777777777781</v>
      </c>
      <c r="G228" s="8">
        <v>0.36666666666666664</v>
      </c>
      <c r="H228" s="7">
        <f>((D228-C228)+(F228-E228))-Tabela1[[#This Row],[Expediente]]</f>
        <v>1.7361111111111271E-2</v>
      </c>
    </row>
    <row r="229" spans="1:8" x14ac:dyDescent="0.25">
      <c r="A229" s="9">
        <v>45916</v>
      </c>
      <c r="B229" s="4" t="str">
        <f t="shared" ref="B229:B252" si="16">TEXT(A229,"dddd")</f>
        <v>terça-feira</v>
      </c>
      <c r="C229" s="7">
        <v>0.30694444444444446</v>
      </c>
      <c r="D229" s="7">
        <v>0.51875000000000004</v>
      </c>
      <c r="E229" s="7">
        <v>0.57708333333333328</v>
      </c>
      <c r="F229" s="7">
        <v>0.74305555555555558</v>
      </c>
      <c r="G229" s="7">
        <v>0.36666666666666664</v>
      </c>
      <c r="H229" s="7">
        <f>((D229-C229)+(F229-E229))-Tabela1[[#This Row],[Expediente]]</f>
        <v>1.1111111111111238E-2</v>
      </c>
    </row>
    <row r="230" spans="1:8" x14ac:dyDescent="0.25">
      <c r="A230" s="9">
        <v>45917</v>
      </c>
      <c r="B230" s="4" t="str">
        <f t="shared" si="16"/>
        <v>quarta-feira</v>
      </c>
      <c r="C230" s="7">
        <v>0.30833333333333335</v>
      </c>
      <c r="D230" s="7">
        <v>0.52777777777777779</v>
      </c>
      <c r="E230" s="7">
        <v>0.57847222222222228</v>
      </c>
      <c r="F230" s="7">
        <v>0.74375000000000002</v>
      </c>
      <c r="G230" s="8">
        <v>0.36666666666666697</v>
      </c>
      <c r="H230" s="7">
        <f>((D230-C230)+(F230-E230))-Tabela1[[#This Row],[Expediente]]</f>
        <v>1.8055555555555214E-2</v>
      </c>
    </row>
    <row r="231" spans="1:8" x14ac:dyDescent="0.25">
      <c r="A231" s="9">
        <v>45918</v>
      </c>
      <c r="B231" s="4" t="str">
        <f t="shared" si="16"/>
        <v>quinta-feira</v>
      </c>
      <c r="C231" s="7">
        <v>0.30763888888888891</v>
      </c>
      <c r="D231" s="7">
        <v>0.52083333333333337</v>
      </c>
      <c r="E231" s="7">
        <v>0.57499999999999996</v>
      </c>
      <c r="F231" s="7">
        <v>0.7416666666666667</v>
      </c>
      <c r="G231" s="7">
        <v>0.36666666666666697</v>
      </c>
      <c r="H231" s="7">
        <f>((D231-C231)+(F231-E231))-Tabela1[[#This Row],[Expediente]]</f>
        <v>1.3194444444444231E-2</v>
      </c>
    </row>
    <row r="232" spans="1:8" x14ac:dyDescent="0.25">
      <c r="A232" s="9">
        <v>45919</v>
      </c>
      <c r="B232" s="4" t="str">
        <f t="shared" si="16"/>
        <v>sexta-feira</v>
      </c>
      <c r="C232" s="7">
        <v>0.30972222222222223</v>
      </c>
      <c r="D232" s="7">
        <v>0.52777777777777779</v>
      </c>
      <c r="E232" s="7">
        <v>0.57499999999999996</v>
      </c>
      <c r="F232" s="7">
        <v>0.7416666666666667</v>
      </c>
      <c r="G232" s="8">
        <v>0.36666666666666697</v>
      </c>
      <c r="H232" s="7">
        <f>((D232-C232)+(F232-E232))-Tabela1[[#This Row],[Expediente]]</f>
        <v>1.8055555555555325E-2</v>
      </c>
    </row>
    <row r="233" spans="1:8" x14ac:dyDescent="0.25">
      <c r="A233" s="9">
        <v>45922</v>
      </c>
      <c r="B233" s="4" t="str">
        <f t="shared" si="16"/>
        <v>segunda-feira</v>
      </c>
      <c r="C233" s="7">
        <v>0.3125</v>
      </c>
      <c r="D233" s="7">
        <v>0.54305555555555551</v>
      </c>
      <c r="E233" s="7">
        <v>0.59097222222222223</v>
      </c>
      <c r="F233" s="7">
        <v>0.74236111111111114</v>
      </c>
      <c r="G233" s="7">
        <v>0.36666666666666697</v>
      </c>
      <c r="H233" s="7">
        <f>((D233-C233)+(F233-E233))-Tabela1[[#This Row],[Expediente]]</f>
        <v>1.5277777777777446E-2</v>
      </c>
    </row>
    <row r="234" spans="1:8" x14ac:dyDescent="0.25">
      <c r="A234" s="9">
        <v>45923</v>
      </c>
      <c r="B234" s="4" t="str">
        <f t="shared" si="16"/>
        <v>terça-feira</v>
      </c>
      <c r="C234" s="7">
        <v>0.3125</v>
      </c>
      <c r="D234" s="7">
        <v>0.52083333333333337</v>
      </c>
      <c r="E234" s="7">
        <v>0.57777777777777772</v>
      </c>
      <c r="F234" s="7">
        <v>0.7416666666666667</v>
      </c>
      <c r="G234" s="8">
        <v>0.36666666666666664</v>
      </c>
      <c r="H234" s="7">
        <f>((D234-C234)+(F234-E234))-Tabela1[[#This Row],[Expediente]]</f>
        <v>5.5555555555557024E-3</v>
      </c>
    </row>
    <row r="235" spans="1:8" x14ac:dyDescent="0.25">
      <c r="A235" s="9">
        <v>45924</v>
      </c>
      <c r="B235" s="4" t="str">
        <f t="shared" si="16"/>
        <v>quarta-feira</v>
      </c>
      <c r="C235" s="7">
        <v>0.30416666666666664</v>
      </c>
      <c r="D235" s="7">
        <v>0.52430555555555558</v>
      </c>
      <c r="E235" s="7">
        <v>0.57986111111111116</v>
      </c>
      <c r="F235" s="7">
        <v>0.74236111111111114</v>
      </c>
      <c r="G235" s="7">
        <v>0.36666666666666697</v>
      </c>
      <c r="H235" s="7">
        <f>((D235-C235)+(F235-E235))-Tabela1[[#This Row],[Expediente]]</f>
        <v>1.5972222222221943E-2</v>
      </c>
    </row>
    <row r="236" spans="1:8" x14ac:dyDescent="0.25">
      <c r="A236" s="9">
        <v>45925</v>
      </c>
      <c r="B236" s="4" t="str">
        <f t="shared" si="16"/>
        <v>quinta-feira</v>
      </c>
      <c r="C236" s="7">
        <v>0.30069444444444443</v>
      </c>
      <c r="D236" s="7">
        <v>0.51875000000000004</v>
      </c>
      <c r="E236" s="7">
        <v>0.57847222222222228</v>
      </c>
      <c r="F236" s="7">
        <v>0.74305555555555558</v>
      </c>
      <c r="G236" s="8">
        <v>0.36666666666666697</v>
      </c>
      <c r="H236" s="7">
        <f>((D236-C236)+(F236-E236))-Tabela1[[#This Row],[Expediente]]</f>
        <v>1.5972222222221943E-2</v>
      </c>
    </row>
    <row r="237" spans="1:8" x14ac:dyDescent="0.25">
      <c r="A237" s="9">
        <v>45926</v>
      </c>
      <c r="B237" s="4" t="str">
        <f t="shared" si="16"/>
        <v>sexta-feira</v>
      </c>
      <c r="C237" s="7">
        <v>0.30277777777777776</v>
      </c>
      <c r="D237" s="7">
        <v>0.52361111111111114</v>
      </c>
      <c r="E237" s="7">
        <v>0.57430555555555551</v>
      </c>
      <c r="F237" s="7">
        <v>0.74305555555555558</v>
      </c>
      <c r="G237" s="7">
        <v>0.36666666666666697</v>
      </c>
      <c r="H237" s="7">
        <f>((D237-C237)+(F237-E237))-Tabela1[[#This Row],[Expediente]]</f>
        <v>2.2916666666666474E-2</v>
      </c>
    </row>
    <row r="238" spans="1:8" x14ac:dyDescent="0.25">
      <c r="A238" s="9">
        <v>45929</v>
      </c>
      <c r="B238" s="4" t="str">
        <f t="shared" si="16"/>
        <v>segunda-feira</v>
      </c>
      <c r="C238" s="7">
        <v>0.30972222222222223</v>
      </c>
      <c r="D238" s="7">
        <v>0.5229166666666667</v>
      </c>
      <c r="E238" s="7">
        <v>0.57291666666666663</v>
      </c>
      <c r="F238" s="7">
        <v>0.75277777777777777</v>
      </c>
      <c r="G238" s="8">
        <v>0.36666666666666697</v>
      </c>
      <c r="H238" s="7">
        <f>((D238-C238)+(F238-E238))-Tabela1[[#This Row],[Expediente]]</f>
        <v>2.6388888888888629E-2</v>
      </c>
    </row>
    <row r="239" spans="1:8" x14ac:dyDescent="0.25">
      <c r="A239" s="9">
        <v>45930</v>
      </c>
      <c r="B239" s="4" t="str">
        <f t="shared" si="16"/>
        <v>terça-feira</v>
      </c>
      <c r="C239" s="7">
        <v>0.30625000000000002</v>
      </c>
      <c r="D239" s="7">
        <v>0.52569444444444446</v>
      </c>
      <c r="E239" s="7">
        <v>0.57708333333333328</v>
      </c>
      <c r="F239" s="7">
        <v>0.76180555555555551</v>
      </c>
      <c r="G239" s="7">
        <v>0.36666666666666697</v>
      </c>
      <c r="H239" s="7">
        <f>((D239-C239)+(F239-E239))-Tabela1[[#This Row],[Expediente]]</f>
        <v>3.74999999999997E-2</v>
      </c>
    </row>
    <row r="240" spans="1:8" x14ac:dyDescent="0.25">
      <c r="A240" s="9">
        <v>45931</v>
      </c>
      <c r="B240" s="4" t="str">
        <f t="shared" si="16"/>
        <v>quarta-feira</v>
      </c>
      <c r="C240" s="7">
        <v>0.30208333333333331</v>
      </c>
      <c r="D240" s="7">
        <v>0.52500000000000002</v>
      </c>
      <c r="E240" s="7">
        <v>0.57708333333333328</v>
      </c>
      <c r="F240" s="7">
        <v>0.74583333333333335</v>
      </c>
      <c r="G240" s="8">
        <v>0.36666666666666697</v>
      </c>
      <c r="H240" s="7">
        <f>((D240-C240)+(F240-E240))-Tabela1[[#This Row],[Expediente]]</f>
        <v>2.49999999999998E-2</v>
      </c>
    </row>
    <row r="241" spans="1:8" x14ac:dyDescent="0.25">
      <c r="A241" s="9">
        <v>45932</v>
      </c>
      <c r="B241" s="4" t="str">
        <f t="shared" si="16"/>
        <v>quinta-feira</v>
      </c>
      <c r="C241" s="7">
        <v>0.31041666666666667</v>
      </c>
      <c r="D241" s="7">
        <v>0.52500000000000002</v>
      </c>
      <c r="E241" s="7">
        <v>0.57777777777777772</v>
      </c>
      <c r="F241" s="7">
        <v>0.73819444444444449</v>
      </c>
      <c r="G241" s="7">
        <v>0.36666666666666697</v>
      </c>
      <c r="H241" s="7">
        <f>((D241-C241)+(F241-E241))-Tabela1[[#This Row],[Expediente]]</f>
        <v>8.3333333333331372E-3</v>
      </c>
    </row>
    <row r="242" spans="1:8" x14ac:dyDescent="0.25">
      <c r="A242" s="9">
        <v>45933</v>
      </c>
      <c r="B242" s="4" t="str">
        <f t="shared" si="16"/>
        <v>sexta-feira</v>
      </c>
      <c r="C242" s="7">
        <v>0.30416666666666664</v>
      </c>
      <c r="D242" s="7">
        <v>0.52222222222222225</v>
      </c>
      <c r="E242" s="7">
        <v>0.5756944444444444</v>
      </c>
      <c r="F242" s="7">
        <v>0.74027777777777781</v>
      </c>
      <c r="G242" s="8">
        <v>0.36666666666666697</v>
      </c>
      <c r="H242" s="7">
        <f>((D242-C242)+(F242-E242))-Tabela1[[#This Row],[Expediente]]</f>
        <v>1.5972222222222054E-2</v>
      </c>
    </row>
    <row r="243" spans="1:8" x14ac:dyDescent="0.25">
      <c r="A243" s="9">
        <v>45936</v>
      </c>
      <c r="B243" s="4" t="str">
        <f t="shared" si="16"/>
        <v>segunda-feira</v>
      </c>
      <c r="C243" s="7">
        <v>0.30555555555555558</v>
      </c>
      <c r="D243" s="7">
        <v>0.52708333333333335</v>
      </c>
      <c r="E243" s="7">
        <v>0.57638888888888884</v>
      </c>
      <c r="F243" s="7">
        <v>0.74583333333333335</v>
      </c>
      <c r="G243" s="7">
        <v>0.36666666666666697</v>
      </c>
      <c r="H243" s="7">
        <f>((D243-C243)+(F243-E243))-Tabela1[[#This Row],[Expediente]]</f>
        <v>2.4305555555555303E-2</v>
      </c>
    </row>
    <row r="244" spans="1:8" x14ac:dyDescent="0.25">
      <c r="A244" s="9">
        <v>45937</v>
      </c>
      <c r="B244" s="4" t="str">
        <f t="shared" si="16"/>
        <v>terça-feira</v>
      </c>
      <c r="C244" s="7">
        <v>0.30416666666666664</v>
      </c>
      <c r="D244" s="7">
        <v>0.5180555555555556</v>
      </c>
      <c r="E244" s="7">
        <v>0.56944444444444442</v>
      </c>
      <c r="F244" s="7">
        <v>0.74236111111111114</v>
      </c>
      <c r="G244" s="8">
        <v>0.36666666666666697</v>
      </c>
      <c r="H244" s="7">
        <f>((D244-C244)+(F244-E244))-Tabela1[[#This Row],[Expediente]]</f>
        <v>2.0138888888888706E-2</v>
      </c>
    </row>
    <row r="245" spans="1:8" x14ac:dyDescent="0.25">
      <c r="A245" s="9">
        <v>45938</v>
      </c>
      <c r="B245" s="4" t="str">
        <f t="shared" si="16"/>
        <v>quarta-feira</v>
      </c>
      <c r="C245" s="7">
        <v>0.29930555555555555</v>
      </c>
      <c r="D245" s="7">
        <v>0.52222222222222225</v>
      </c>
      <c r="E245" s="7">
        <v>0.57916666666666672</v>
      </c>
      <c r="F245" s="7">
        <v>0.7416666666666667</v>
      </c>
      <c r="G245" s="7">
        <v>0.36666666666666697</v>
      </c>
      <c r="H245" s="7">
        <f>((D245-C245)+(F245-E245))-Tabela1[[#This Row],[Expediente]]</f>
        <v>1.8749999999999711E-2</v>
      </c>
    </row>
    <row r="246" spans="1:8" x14ac:dyDescent="0.25">
      <c r="A246" s="9">
        <v>45939</v>
      </c>
      <c r="B246" s="4" t="str">
        <f t="shared" si="16"/>
        <v>quinta-feira</v>
      </c>
      <c r="C246" s="7">
        <v>0.31180555555555556</v>
      </c>
      <c r="D246" s="7">
        <v>0.5229166666666667</v>
      </c>
      <c r="E246" s="7">
        <v>0.57638888888888884</v>
      </c>
      <c r="F246" s="7">
        <v>0.7416666666666667</v>
      </c>
      <c r="G246" s="8">
        <v>0.36666666666666697</v>
      </c>
      <c r="H246" s="7">
        <f>((D246-C246)+(F246-E246))-Tabela1[[#This Row],[Expediente]]</f>
        <v>9.7222222222220211E-3</v>
      </c>
    </row>
    <row r="247" spans="1:8" x14ac:dyDescent="0.25">
      <c r="A247" s="9">
        <v>45940</v>
      </c>
      <c r="B247" s="4" t="str">
        <f t="shared" si="16"/>
        <v>sexta-feira</v>
      </c>
      <c r="C247" s="7">
        <v>0.3125</v>
      </c>
      <c r="D247" s="7">
        <v>0.53263888888888888</v>
      </c>
      <c r="E247" s="7">
        <v>0.58194444444444449</v>
      </c>
      <c r="F247" s="7">
        <v>0.75138888888888888</v>
      </c>
      <c r="G247" s="7">
        <v>0.36666666666666697</v>
      </c>
      <c r="H247" s="7">
        <f>((D247-C247)+(F247-E247))-Tabela1[[#This Row],[Expediente]]</f>
        <v>2.2916666666666308E-2</v>
      </c>
    </row>
    <row r="248" spans="1:8" x14ac:dyDescent="0.25">
      <c r="A248" s="9">
        <v>45943</v>
      </c>
      <c r="B248" s="4" t="str">
        <f t="shared" si="16"/>
        <v>segunda-feira</v>
      </c>
      <c r="C248" s="7">
        <v>0.29583333333333334</v>
      </c>
      <c r="D248" s="7">
        <v>0.52847222222222223</v>
      </c>
      <c r="E248" s="7">
        <v>0.57916666666666672</v>
      </c>
      <c r="F248" s="7">
        <v>0.75</v>
      </c>
      <c r="G248" s="8">
        <v>0.36666666666666697</v>
      </c>
      <c r="H248" s="7">
        <f>((D248-C248)+(F248-E248))-Tabela1[[#This Row],[Expediente]]</f>
        <v>3.6805555555555203E-2</v>
      </c>
    </row>
    <row r="249" spans="1:8" x14ac:dyDescent="0.25">
      <c r="A249" s="9">
        <v>45944</v>
      </c>
      <c r="B249" s="4" t="str">
        <f t="shared" si="16"/>
        <v>terça-feira</v>
      </c>
      <c r="C249" s="7">
        <v>0.3034722222222222</v>
      </c>
      <c r="D249" s="7">
        <v>0.52152777777777781</v>
      </c>
      <c r="E249" s="7">
        <v>0.57152777777777775</v>
      </c>
      <c r="F249" s="7">
        <v>0.74722222222222223</v>
      </c>
      <c r="G249" s="7">
        <v>0.36666666666666697</v>
      </c>
      <c r="H249" s="7">
        <f>((D249-C249)+(F249-E249))-Tabela1[[#This Row],[Expediente]]</f>
        <v>2.7083333333333126E-2</v>
      </c>
    </row>
    <row r="250" spans="1:8" x14ac:dyDescent="0.25">
      <c r="A250" s="9">
        <v>45945</v>
      </c>
      <c r="B250" s="4" t="str">
        <f t="shared" si="16"/>
        <v>quarta-feira</v>
      </c>
      <c r="C250" s="7">
        <v>0.29166666666666669</v>
      </c>
      <c r="D250" s="7">
        <v>0.52013888888888893</v>
      </c>
      <c r="E250" s="7">
        <v>0.57013888888888886</v>
      </c>
      <c r="F250" s="7">
        <v>0.74236111111111114</v>
      </c>
      <c r="G250" s="8">
        <v>0.36666666666666697</v>
      </c>
      <c r="H250" s="7">
        <f>((D250-C250)+(F250-E250))-Tabela1[[#This Row],[Expediente]]</f>
        <v>3.4027777777777546E-2</v>
      </c>
    </row>
    <row r="251" spans="1:8" x14ac:dyDescent="0.25">
      <c r="A251" s="9">
        <v>45946</v>
      </c>
      <c r="B251" s="4" t="str">
        <f t="shared" si="16"/>
        <v>quinta-feira</v>
      </c>
      <c r="C251" s="7">
        <v>0.31319444444444444</v>
      </c>
      <c r="D251" s="7">
        <v>0.52430555555555558</v>
      </c>
      <c r="E251" s="7">
        <v>0.57499999999999996</v>
      </c>
      <c r="F251" s="7">
        <v>0.74791666666666667</v>
      </c>
      <c r="G251" s="7">
        <v>0.36666666666666697</v>
      </c>
      <c r="H251" s="7">
        <f>((D251-C251)+(F251-E251))-Tabela1[[#This Row],[Expediente]]</f>
        <v>1.7361111111110883E-2</v>
      </c>
    </row>
    <row r="252" spans="1:8" x14ac:dyDescent="0.25">
      <c r="A252" s="9">
        <v>45947</v>
      </c>
      <c r="B252" s="4" t="str">
        <f t="shared" si="16"/>
        <v>sexta-feira</v>
      </c>
      <c r="C252" s="7">
        <v>0.31041666666666667</v>
      </c>
      <c r="D252" s="7">
        <v>0.52361111111111114</v>
      </c>
      <c r="E252" s="7">
        <v>0.57847222222222228</v>
      </c>
      <c r="F252" s="7">
        <v>0.75972222222222219</v>
      </c>
      <c r="G252" s="8">
        <v>0.36666666666666697</v>
      </c>
      <c r="H252" s="7">
        <f>((D252-C252)+(F252-E252))-Tabela1[[#This Row],[Expediente]]</f>
        <v>2.7777777777777402E-2</v>
      </c>
    </row>
    <row r="253" spans="1:8" x14ac:dyDescent="0.25">
      <c r="A253" s="9">
        <v>45950</v>
      </c>
      <c r="B253" s="4" t="str">
        <f t="shared" ref="B253:B274" si="17">TEXT(A253,"dddd")</f>
        <v>segunda-feira</v>
      </c>
      <c r="C253" s="7">
        <v>0.31319444444444444</v>
      </c>
      <c r="D253" s="7">
        <v>0.52500000000000002</v>
      </c>
      <c r="E253" s="7">
        <v>0.57708333333333328</v>
      </c>
      <c r="F253" s="7">
        <v>0.74305555555555558</v>
      </c>
      <c r="G253" s="7">
        <v>0.36666666666666697</v>
      </c>
      <c r="H253" s="7">
        <f>((D253-C253)+(F253-E253))-Tabela1[[#This Row],[Expediente]]</f>
        <v>1.1111111111110905E-2</v>
      </c>
    </row>
    <row r="254" spans="1:8" x14ac:dyDescent="0.25">
      <c r="A254" s="9">
        <v>45951</v>
      </c>
      <c r="B254" s="4" t="str">
        <f t="shared" si="17"/>
        <v>terça-feira</v>
      </c>
      <c r="C254" s="7">
        <v>0.31111111111111112</v>
      </c>
      <c r="D254" s="7">
        <v>0.52500000000000002</v>
      </c>
      <c r="E254" s="7">
        <v>0.57499999999999996</v>
      </c>
      <c r="F254" s="7">
        <v>0.74513888888888891</v>
      </c>
      <c r="G254" s="8">
        <v>0.36666666666666697</v>
      </c>
      <c r="H254" s="7">
        <f>((D254-C254)+(F254-E254))-Tabela1[[#This Row],[Expediente]]</f>
        <v>1.7361111111110883E-2</v>
      </c>
    </row>
    <row r="255" spans="1:8" x14ac:dyDescent="0.25">
      <c r="A255" s="9">
        <v>45952</v>
      </c>
      <c r="B255" s="4" t="str">
        <f t="shared" si="17"/>
        <v>quarta-feira</v>
      </c>
      <c r="C255" s="7">
        <v>0.30694444444444446</v>
      </c>
      <c r="D255" s="7">
        <v>0.52083333333333337</v>
      </c>
      <c r="E255" s="7">
        <v>0.57708333333333328</v>
      </c>
      <c r="F255" s="7">
        <v>0.73958333333333337</v>
      </c>
      <c r="G255" s="7">
        <v>0.36666666666666697</v>
      </c>
      <c r="H255" s="7">
        <f>((D255-C255)+(F255-E255))-Tabela1[[#This Row],[Expediente]]</f>
        <v>9.7222222222220211E-3</v>
      </c>
    </row>
    <row r="256" spans="1:8" x14ac:dyDescent="0.25">
      <c r="A256" s="9">
        <v>45953</v>
      </c>
      <c r="B256" s="4" t="str">
        <f t="shared" si="17"/>
        <v>quinta-feira</v>
      </c>
      <c r="C256" s="7">
        <v>0.3125</v>
      </c>
      <c r="D256" s="7">
        <v>0.52222222222222225</v>
      </c>
      <c r="E256" s="7">
        <v>0.57847222222222228</v>
      </c>
      <c r="F256" s="7">
        <v>0.74652777777777779</v>
      </c>
      <c r="G256" s="8">
        <v>0.36666666666666697</v>
      </c>
      <c r="H256" s="7">
        <f>((D256-C256)+(F256-E256))-Tabela1[[#This Row],[Expediente]]</f>
        <v>1.1111111111110794E-2</v>
      </c>
    </row>
    <row r="257" spans="1:8" x14ac:dyDescent="0.25">
      <c r="A257" s="9">
        <v>45954</v>
      </c>
      <c r="B257" s="4" t="str">
        <f t="shared" si="17"/>
        <v>sexta-feira</v>
      </c>
      <c r="C257" s="7">
        <v>0.29791666666666666</v>
      </c>
      <c r="D257" s="7">
        <v>0.51944444444444449</v>
      </c>
      <c r="E257" s="7">
        <v>0.57361111111111107</v>
      </c>
      <c r="F257" s="7">
        <v>0.7416666666666667</v>
      </c>
      <c r="G257" s="7">
        <v>0.36666666666666697</v>
      </c>
      <c r="H257" s="7">
        <f>((D257-C257)+(F257-E257))-Tabela1[[#This Row],[Expediente]]</f>
        <v>2.2916666666666474E-2</v>
      </c>
    </row>
    <row r="258" spans="1:8" x14ac:dyDescent="0.25">
      <c r="A258" s="9">
        <v>45957</v>
      </c>
      <c r="B258" s="4" t="str">
        <f t="shared" si="17"/>
        <v>segunda-feira</v>
      </c>
      <c r="C258" s="7">
        <v>0.3034722222222222</v>
      </c>
      <c r="D258" s="7">
        <v>0.52361111111111114</v>
      </c>
      <c r="E258" s="7">
        <v>0.57847222222222228</v>
      </c>
      <c r="F258" s="7">
        <v>0.74375000000000002</v>
      </c>
      <c r="G258" s="8">
        <v>0.36666666666666697</v>
      </c>
      <c r="H258" s="7">
        <f>((D258-C258)+(F258-E258))-Tabela1[[#This Row],[Expediente]]</f>
        <v>1.8749999999999711E-2</v>
      </c>
    </row>
    <row r="259" spans="1:8" x14ac:dyDescent="0.25">
      <c r="A259" s="9">
        <v>45958</v>
      </c>
      <c r="B259" s="4" t="str">
        <f t="shared" si="17"/>
        <v>terça-feira</v>
      </c>
      <c r="C259" s="7">
        <v>0.30902777777777779</v>
      </c>
      <c r="D259" s="7">
        <v>0.52500000000000002</v>
      </c>
      <c r="E259" s="7">
        <v>0.57708333333333328</v>
      </c>
      <c r="F259" s="7">
        <v>0.73750000000000004</v>
      </c>
      <c r="G259" s="7">
        <v>0.36666666666666697</v>
      </c>
      <c r="H259" s="7">
        <f>((D259-C259)+(F259-E259))-Tabela1[[#This Row],[Expediente]]</f>
        <v>9.7222222222220211E-3</v>
      </c>
    </row>
    <row r="260" spans="1:8" x14ac:dyDescent="0.25">
      <c r="A260" s="9">
        <v>45959</v>
      </c>
      <c r="B260" s="4" t="str">
        <f t="shared" si="17"/>
        <v>quarta-feira</v>
      </c>
      <c r="C260" s="7">
        <v>0.30833333333333335</v>
      </c>
      <c r="D260" s="7">
        <v>0.5229166666666667</v>
      </c>
      <c r="E260" s="7">
        <v>0.57916666666666672</v>
      </c>
      <c r="F260" s="7">
        <v>0.74097222222222225</v>
      </c>
      <c r="G260" s="8">
        <v>0.36666666666666697</v>
      </c>
      <c r="H260" s="7">
        <f>((D260-C260)+(F260-E260))-Tabela1[[#This Row],[Expediente]]</f>
        <v>9.7222222222219101E-3</v>
      </c>
    </row>
    <row r="261" spans="1:8" x14ac:dyDescent="0.25">
      <c r="A261" s="9">
        <v>45960</v>
      </c>
      <c r="B261" s="4" t="str">
        <f t="shared" si="17"/>
        <v>quinta-feira</v>
      </c>
      <c r="C261" s="7">
        <v>0.29722222222222222</v>
      </c>
      <c r="D261" s="7">
        <v>0.52222222222222225</v>
      </c>
      <c r="E261" s="7">
        <v>0.57916666666666672</v>
      </c>
      <c r="F261" s="7">
        <v>0.74305555555555558</v>
      </c>
      <c r="G261" s="7">
        <v>0.36666666666666697</v>
      </c>
      <c r="H261" s="7">
        <f>((D261-C261)+(F261-E261))-Tabela1[[#This Row],[Expediente]]</f>
        <v>2.2222222222221921E-2</v>
      </c>
    </row>
    <row r="262" spans="1:8" x14ac:dyDescent="0.25">
      <c r="A262" s="9">
        <v>45961</v>
      </c>
      <c r="B262" s="4" t="str">
        <f t="shared" si="17"/>
        <v>sexta-feira</v>
      </c>
      <c r="C262" s="7">
        <v>0.30833333333333335</v>
      </c>
      <c r="D262" s="7">
        <v>0.52222222222222225</v>
      </c>
      <c r="E262" s="7">
        <v>0.57361111111111107</v>
      </c>
      <c r="F262" s="7">
        <v>0.74375000000000002</v>
      </c>
      <c r="G262" s="8">
        <v>0.36666666666666697</v>
      </c>
      <c r="H262" s="7">
        <f>((D262-C262)+(F262-E262))-Tabela1[[#This Row],[Expediente]]</f>
        <v>1.7361111111110883E-2</v>
      </c>
    </row>
    <row r="263" spans="1:8" x14ac:dyDescent="0.25">
      <c r="A263" s="9">
        <v>45964</v>
      </c>
      <c r="B263" s="4" t="str">
        <f t="shared" si="17"/>
        <v>segunda-feira</v>
      </c>
      <c r="C263" s="7">
        <v>0.30763888888888891</v>
      </c>
      <c r="D263" s="7">
        <v>0.52708333333333335</v>
      </c>
      <c r="E263" s="7">
        <v>0.57847222222222228</v>
      </c>
      <c r="F263" s="7">
        <v>0.75347222222222221</v>
      </c>
      <c r="G263" s="7">
        <v>0.36666666666666697</v>
      </c>
      <c r="H263" s="7">
        <f>((D263-C263)+(F263-E263))-Tabela1[[#This Row],[Expediente]]</f>
        <v>2.7777777777777402E-2</v>
      </c>
    </row>
    <row r="264" spans="1:8" x14ac:dyDescent="0.25">
      <c r="A264" s="9">
        <v>45965</v>
      </c>
      <c r="B264" s="4" t="str">
        <f t="shared" si="17"/>
        <v>terça-feira</v>
      </c>
      <c r="C264" s="7">
        <v>0.30902777777777779</v>
      </c>
      <c r="D264" s="7">
        <v>0.55069444444444449</v>
      </c>
      <c r="E264" s="7">
        <v>0.60555555555555551</v>
      </c>
      <c r="F264" s="7">
        <v>0.74861111111111112</v>
      </c>
      <c r="G264" s="8">
        <v>0.36666666666666697</v>
      </c>
      <c r="H264" s="7">
        <f>((D264-C264)+(F264-E264))-Tabela1[[#This Row],[Expediente]]</f>
        <v>1.8055555555555325E-2</v>
      </c>
    </row>
    <row r="265" spans="1:8" x14ac:dyDescent="0.25">
      <c r="A265" s="9">
        <v>45966</v>
      </c>
      <c r="B265" s="4" t="str">
        <f t="shared" si="17"/>
        <v>quarta-feira</v>
      </c>
      <c r="C265" s="7">
        <v>0.30972222222222223</v>
      </c>
      <c r="D265" s="7">
        <v>0.52777777777777779</v>
      </c>
      <c r="E265" s="7">
        <v>0.57361111111111107</v>
      </c>
      <c r="F265" s="7">
        <v>0.74305555555555558</v>
      </c>
      <c r="G265" s="7">
        <v>0.36666666666666697</v>
      </c>
      <c r="H265" s="7">
        <f>((D265-C265)+(F265-E265))-Tabela1[[#This Row],[Expediente]]</f>
        <v>2.0833333333333093E-2</v>
      </c>
    </row>
    <row r="266" spans="1:8" x14ac:dyDescent="0.25">
      <c r="A266" s="9">
        <v>45967</v>
      </c>
      <c r="B266" s="4" t="str">
        <f t="shared" si="17"/>
        <v>quinta-feira</v>
      </c>
      <c r="C266" s="7">
        <v>0.31041666666666667</v>
      </c>
      <c r="D266" s="7">
        <v>0.52083333333333337</v>
      </c>
      <c r="E266" s="7">
        <v>0.57847222222222228</v>
      </c>
      <c r="F266" s="7">
        <v>0.74375000000000002</v>
      </c>
      <c r="G266" s="8">
        <v>0.36666666666666697</v>
      </c>
      <c r="H266" s="7">
        <f>((D266-C266)+(F266-E266))-Tabela1[[#This Row],[Expediente]]</f>
        <v>9.0277777777774681E-3</v>
      </c>
    </row>
    <row r="267" spans="1:8" x14ac:dyDescent="0.25">
      <c r="A267" s="9">
        <v>45968</v>
      </c>
      <c r="B267" s="4" t="str">
        <f t="shared" si="17"/>
        <v>sexta-feira</v>
      </c>
      <c r="C267" s="7">
        <v>0.30833333333333335</v>
      </c>
      <c r="D267" s="7">
        <v>0.52777777777777779</v>
      </c>
      <c r="E267" s="7">
        <v>0.57847222222222228</v>
      </c>
      <c r="F267" s="7">
        <v>0.74722222222222223</v>
      </c>
      <c r="G267" s="7">
        <v>0.36666666666666697</v>
      </c>
      <c r="H267" s="7">
        <f>((D267-C267)+(F267-E267))-Tabela1[[#This Row],[Expediente]]</f>
        <v>2.1527777777777424E-2</v>
      </c>
    </row>
    <row r="268" spans="1:8" x14ac:dyDescent="0.25">
      <c r="A268" s="9">
        <v>45971</v>
      </c>
      <c r="B268" s="4" t="str">
        <f t="shared" si="17"/>
        <v>segunda-feira</v>
      </c>
      <c r="C268" s="7">
        <v>0.31111111111111112</v>
      </c>
      <c r="D268" s="7">
        <v>0.52361111111111114</v>
      </c>
      <c r="E268" s="7">
        <v>0.57499999999999996</v>
      </c>
      <c r="F268" s="7">
        <v>0.75416666666666665</v>
      </c>
      <c r="G268" s="8">
        <v>0.36666666666666697</v>
      </c>
      <c r="H268" s="7">
        <f>((D268-C268)+(F268-E268))-Tabela1[[#This Row],[Expediente]]</f>
        <v>2.4999999999999745E-2</v>
      </c>
    </row>
    <row r="269" spans="1:8" x14ac:dyDescent="0.25">
      <c r="A269" s="9">
        <v>45972</v>
      </c>
      <c r="B269" s="4" t="str">
        <f t="shared" si="17"/>
        <v>terça-feira</v>
      </c>
      <c r="C269" s="7" t="s">
        <v>8</v>
      </c>
      <c r="D269" s="7" t="s">
        <v>8</v>
      </c>
      <c r="E269" s="7" t="s">
        <v>8</v>
      </c>
      <c r="F269" s="7" t="s">
        <v>8</v>
      </c>
      <c r="G269" s="7" t="s">
        <v>8</v>
      </c>
      <c r="H269" s="7" t="s">
        <v>8</v>
      </c>
    </row>
    <row r="270" spans="1:8" x14ac:dyDescent="0.25">
      <c r="A270" s="9">
        <v>45973</v>
      </c>
      <c r="B270" s="4" t="str">
        <f t="shared" si="17"/>
        <v>quarta-feira</v>
      </c>
      <c r="C270" s="7" t="s">
        <v>8</v>
      </c>
      <c r="D270" s="7" t="s">
        <v>8</v>
      </c>
      <c r="E270" s="7" t="s">
        <v>8</v>
      </c>
      <c r="F270" s="7" t="s">
        <v>8</v>
      </c>
      <c r="G270" s="7" t="s">
        <v>8</v>
      </c>
      <c r="H270" s="7" t="s">
        <v>8</v>
      </c>
    </row>
    <row r="271" spans="1:8" x14ac:dyDescent="0.25">
      <c r="A271" s="9">
        <v>45974</v>
      </c>
      <c r="B271" s="4" t="str">
        <f t="shared" si="17"/>
        <v>quinta-feira</v>
      </c>
      <c r="C271" s="7" t="s">
        <v>8</v>
      </c>
      <c r="D271" s="7" t="s">
        <v>8</v>
      </c>
      <c r="E271" s="7" t="s">
        <v>8</v>
      </c>
      <c r="F271" s="7" t="s">
        <v>8</v>
      </c>
      <c r="G271" s="7" t="s">
        <v>8</v>
      </c>
      <c r="H271" s="7" t="s">
        <v>8</v>
      </c>
    </row>
    <row r="272" spans="1:8" x14ac:dyDescent="0.25">
      <c r="A272" s="9">
        <v>45975</v>
      </c>
      <c r="B272" s="4" t="str">
        <f t="shared" si="17"/>
        <v>sexta-feira</v>
      </c>
      <c r="C272" s="7" t="s">
        <v>8</v>
      </c>
      <c r="D272" s="7" t="s">
        <v>8</v>
      </c>
      <c r="E272" s="7" t="s">
        <v>8</v>
      </c>
      <c r="F272" s="7" t="s">
        <v>8</v>
      </c>
      <c r="G272" s="7" t="s">
        <v>8</v>
      </c>
      <c r="H272" s="7" t="s">
        <v>8</v>
      </c>
    </row>
    <row r="273" spans="1:8" x14ac:dyDescent="0.25">
      <c r="A273" s="9">
        <v>45978</v>
      </c>
      <c r="B273" s="4" t="str">
        <f t="shared" si="17"/>
        <v>segunda-feira</v>
      </c>
      <c r="C273" s="7" t="s">
        <v>8</v>
      </c>
      <c r="D273" s="7" t="s">
        <v>8</v>
      </c>
      <c r="E273" s="7" t="s">
        <v>8</v>
      </c>
      <c r="F273" s="7" t="s">
        <v>8</v>
      </c>
      <c r="G273" s="7" t="s">
        <v>8</v>
      </c>
      <c r="H273" s="7" t="s">
        <v>8</v>
      </c>
    </row>
    <row r="274" spans="1:8" x14ac:dyDescent="0.25">
      <c r="A274" s="9">
        <v>45979</v>
      </c>
      <c r="B274" s="4" t="str">
        <f t="shared" si="17"/>
        <v>terça-feira</v>
      </c>
      <c r="C274" s="7" t="s">
        <v>8</v>
      </c>
      <c r="D274" s="7" t="s">
        <v>8</v>
      </c>
      <c r="E274" s="7" t="s">
        <v>8</v>
      </c>
      <c r="F274" s="7" t="s">
        <v>8</v>
      </c>
      <c r="G274" s="7" t="s">
        <v>8</v>
      </c>
      <c r="H274" s="7" t="s">
        <v>8</v>
      </c>
    </row>
    <row r="275" spans="1:8" x14ac:dyDescent="0.25">
      <c r="A275" s="9">
        <v>45980</v>
      </c>
      <c r="B275" s="4" t="str">
        <f t="shared" ref="B275:B297" si="18">TEXT(A275,"dddd")</f>
        <v>quarta-feira</v>
      </c>
      <c r="C275" s="7" t="s">
        <v>8</v>
      </c>
      <c r="D275" s="7" t="s">
        <v>8</v>
      </c>
      <c r="E275" s="7" t="s">
        <v>8</v>
      </c>
      <c r="F275" s="7" t="s">
        <v>8</v>
      </c>
      <c r="G275" s="7" t="s">
        <v>8</v>
      </c>
      <c r="H275" s="7" t="s">
        <v>8</v>
      </c>
    </row>
    <row r="276" spans="1:8" x14ac:dyDescent="0.25">
      <c r="A276" s="9">
        <v>45981</v>
      </c>
      <c r="B276" s="4" t="str">
        <f t="shared" si="18"/>
        <v>quinta-feira</v>
      </c>
      <c r="C276" s="7" t="s">
        <v>8</v>
      </c>
      <c r="D276" s="7" t="s">
        <v>8</v>
      </c>
      <c r="E276" s="7" t="s">
        <v>8</v>
      </c>
      <c r="F276" s="7" t="s">
        <v>8</v>
      </c>
      <c r="G276" s="7" t="s">
        <v>8</v>
      </c>
      <c r="H276" s="7" t="s">
        <v>8</v>
      </c>
    </row>
    <row r="277" spans="1:8" x14ac:dyDescent="0.25">
      <c r="A277" s="9">
        <v>45982</v>
      </c>
      <c r="B277" s="4" t="str">
        <f t="shared" si="18"/>
        <v>sexta-feira</v>
      </c>
      <c r="C277" s="7" t="s">
        <v>8</v>
      </c>
      <c r="D277" s="7" t="s">
        <v>8</v>
      </c>
      <c r="E277" s="7" t="s">
        <v>8</v>
      </c>
      <c r="F277" s="7" t="s">
        <v>8</v>
      </c>
      <c r="G277" s="7" t="s">
        <v>8</v>
      </c>
      <c r="H277" s="7" t="s">
        <v>8</v>
      </c>
    </row>
    <row r="278" spans="1:8" x14ac:dyDescent="0.25">
      <c r="A278" s="9">
        <v>45985</v>
      </c>
      <c r="B278" s="4" t="str">
        <f t="shared" si="18"/>
        <v>segunda-feira</v>
      </c>
      <c r="C278" s="7" t="s">
        <v>8</v>
      </c>
      <c r="D278" s="7" t="s">
        <v>8</v>
      </c>
      <c r="E278" s="7" t="s">
        <v>8</v>
      </c>
      <c r="F278" s="7" t="s">
        <v>8</v>
      </c>
      <c r="G278" s="7" t="s">
        <v>8</v>
      </c>
      <c r="H278" s="7" t="s">
        <v>8</v>
      </c>
    </row>
    <row r="279" spans="1:8" x14ac:dyDescent="0.25">
      <c r="A279" s="9">
        <v>45986</v>
      </c>
      <c r="B279" s="4" t="str">
        <f t="shared" si="18"/>
        <v>terça-feira</v>
      </c>
      <c r="C279" s="7" t="s">
        <v>8</v>
      </c>
      <c r="D279" s="7" t="s">
        <v>8</v>
      </c>
      <c r="E279" s="7" t="s">
        <v>8</v>
      </c>
      <c r="F279" s="7" t="s">
        <v>8</v>
      </c>
      <c r="G279" s="7" t="s">
        <v>8</v>
      </c>
      <c r="H279" s="7" t="s">
        <v>8</v>
      </c>
    </row>
    <row r="280" spans="1:8" x14ac:dyDescent="0.25">
      <c r="A280" s="9">
        <v>45987</v>
      </c>
      <c r="B280" s="4" t="str">
        <f t="shared" si="18"/>
        <v>quarta-feira</v>
      </c>
      <c r="C280" s="7" t="s">
        <v>8</v>
      </c>
      <c r="D280" s="7" t="s">
        <v>8</v>
      </c>
      <c r="E280" s="7" t="s">
        <v>8</v>
      </c>
      <c r="F280" s="7" t="s">
        <v>8</v>
      </c>
      <c r="G280" s="7" t="s">
        <v>8</v>
      </c>
      <c r="H280" s="7" t="s">
        <v>8</v>
      </c>
    </row>
    <row r="281" spans="1:8" x14ac:dyDescent="0.25">
      <c r="A281" s="9">
        <v>45988</v>
      </c>
      <c r="B281" s="4" t="str">
        <f t="shared" si="18"/>
        <v>quinta-feira</v>
      </c>
      <c r="C281" s="7" t="s">
        <v>8</v>
      </c>
      <c r="D281" s="7" t="s">
        <v>8</v>
      </c>
      <c r="E281" s="7" t="s">
        <v>8</v>
      </c>
      <c r="F281" s="7" t="s">
        <v>8</v>
      </c>
      <c r="G281" s="7" t="s">
        <v>8</v>
      </c>
      <c r="H281" s="7" t="s">
        <v>8</v>
      </c>
    </row>
    <row r="282" spans="1:8" x14ac:dyDescent="0.25">
      <c r="A282" s="9">
        <v>45989</v>
      </c>
      <c r="B282" s="4" t="str">
        <f t="shared" si="18"/>
        <v>sexta-feira</v>
      </c>
      <c r="C282" s="7" t="s">
        <v>8</v>
      </c>
      <c r="D282" s="7" t="s">
        <v>8</v>
      </c>
      <c r="E282" s="7" t="s">
        <v>8</v>
      </c>
      <c r="F282" s="7" t="s">
        <v>8</v>
      </c>
      <c r="G282" s="7" t="s">
        <v>8</v>
      </c>
      <c r="H282" s="7" t="s">
        <v>8</v>
      </c>
    </row>
    <row r="283" spans="1:8" x14ac:dyDescent="0.25">
      <c r="A283" s="9">
        <v>45992</v>
      </c>
      <c r="B283" s="4" t="str">
        <f t="shared" si="18"/>
        <v>segunda-feira</v>
      </c>
      <c r="C283" s="7" t="s">
        <v>8</v>
      </c>
      <c r="D283" s="7" t="s">
        <v>8</v>
      </c>
      <c r="E283" s="7" t="s">
        <v>8</v>
      </c>
      <c r="F283" s="7" t="s">
        <v>8</v>
      </c>
      <c r="G283" s="7" t="s">
        <v>8</v>
      </c>
      <c r="H283" s="7" t="s">
        <v>8</v>
      </c>
    </row>
    <row r="284" spans="1:8" x14ac:dyDescent="0.25">
      <c r="A284" s="9">
        <v>45993</v>
      </c>
      <c r="B284" s="4" t="str">
        <f t="shared" si="18"/>
        <v>terça-feira</v>
      </c>
      <c r="C284" s="7" t="s">
        <v>8</v>
      </c>
      <c r="D284" s="7" t="s">
        <v>8</v>
      </c>
      <c r="E284" s="7" t="s">
        <v>8</v>
      </c>
      <c r="F284" s="7" t="s">
        <v>8</v>
      </c>
      <c r="G284" s="7" t="s">
        <v>8</v>
      </c>
      <c r="H284" s="7" t="s">
        <v>8</v>
      </c>
    </row>
    <row r="285" spans="1:8" x14ac:dyDescent="0.25">
      <c r="A285" s="9">
        <v>45994</v>
      </c>
      <c r="B285" s="4" t="str">
        <f t="shared" si="18"/>
        <v>quarta-feira</v>
      </c>
      <c r="C285" s="7">
        <v>0.3125</v>
      </c>
      <c r="D285" s="7">
        <v>0.52222222222222225</v>
      </c>
      <c r="E285" s="7">
        <v>0.58194444444444449</v>
      </c>
      <c r="F285" s="7">
        <v>0.7416666666666667</v>
      </c>
      <c r="G285" s="7">
        <v>0.36666666666666697</v>
      </c>
      <c r="H285" s="7">
        <f>((D285-C285)+(F285-E285))-Tabela1[[#This Row],[Expediente]]</f>
        <v>2.7777777777774904E-3</v>
      </c>
    </row>
    <row r="286" spans="1:8" x14ac:dyDescent="0.25">
      <c r="A286" s="9">
        <v>45995</v>
      </c>
      <c r="B286" s="4" t="str">
        <f t="shared" si="18"/>
        <v>quinta-feira</v>
      </c>
      <c r="C286" s="7">
        <v>0.30902777777777779</v>
      </c>
      <c r="D286" s="7">
        <v>0.52222222222222225</v>
      </c>
      <c r="E286" s="7">
        <v>0.57847222222222228</v>
      </c>
      <c r="F286" s="7">
        <v>0.7416666666666667</v>
      </c>
      <c r="G286" s="8">
        <v>0.36666666666666697</v>
      </c>
      <c r="H286" s="7">
        <f>((D286-C286)+(F286-E286))-Tabela1[[#This Row],[Expediente]]</f>
        <v>9.7222222222219101E-3</v>
      </c>
    </row>
    <row r="287" spans="1:8" x14ac:dyDescent="0.25">
      <c r="A287" s="9">
        <v>45996</v>
      </c>
      <c r="B287" s="4" t="str">
        <f t="shared" si="18"/>
        <v>sexta-feira</v>
      </c>
      <c r="C287" s="7">
        <v>0.3125</v>
      </c>
      <c r="D287" s="7">
        <v>0.53402777777777777</v>
      </c>
      <c r="E287" s="7">
        <v>0.58402777777777781</v>
      </c>
      <c r="F287" s="7">
        <v>0.75902777777777775</v>
      </c>
      <c r="G287" s="7">
        <v>0.36666666666666697</v>
      </c>
      <c r="H287" s="7">
        <f>((D287-C287)+(F287-E287))-Tabela1[[#This Row],[Expediente]]</f>
        <v>2.9861111111110727E-2</v>
      </c>
    </row>
    <row r="288" spans="1:8" x14ac:dyDescent="0.25">
      <c r="A288" s="9">
        <v>45999</v>
      </c>
      <c r="B288" s="4" t="str">
        <f t="shared" si="18"/>
        <v>segunda-feira</v>
      </c>
      <c r="C288" s="7">
        <v>0.30486111111111114</v>
      </c>
      <c r="D288" s="7">
        <v>0.5395833333333333</v>
      </c>
      <c r="E288" s="7">
        <v>0.58333333333333337</v>
      </c>
      <c r="F288" s="7">
        <v>0.75</v>
      </c>
      <c r="G288" s="8">
        <v>0.36666666666666697</v>
      </c>
      <c r="H288" s="7">
        <f>((D288-C288)+(F288-E288))-Tabela1[[#This Row],[Expediente]]</f>
        <v>3.4722222222221821E-2</v>
      </c>
    </row>
    <row r="289" spans="1:8" x14ac:dyDescent="0.25">
      <c r="A289" s="9">
        <v>46000</v>
      </c>
      <c r="B289" s="4" t="str">
        <f t="shared" si="18"/>
        <v>terça-feira</v>
      </c>
      <c r="C289" s="7">
        <v>0.30555555555555558</v>
      </c>
      <c r="D289" s="7">
        <v>0.54722222222222228</v>
      </c>
      <c r="E289" s="7">
        <v>0.59027777777777779</v>
      </c>
      <c r="F289" s="7">
        <v>0.74652777777777779</v>
      </c>
      <c r="G289" s="7">
        <v>0.36666666666666697</v>
      </c>
      <c r="H289" s="7">
        <f>((D289-C289)+(F289-E289))-Tabela1[[#This Row],[Expediente]]</f>
        <v>3.1249999999999722E-2</v>
      </c>
    </row>
    <row r="290" spans="1:8" x14ac:dyDescent="0.25">
      <c r="A290" s="9">
        <v>46001</v>
      </c>
      <c r="B290" s="4" t="str">
        <f t="shared" si="18"/>
        <v>quarta-feira</v>
      </c>
      <c r="C290" s="7">
        <v>0.31111111111111112</v>
      </c>
      <c r="D290" s="7">
        <v>0.52430555555555558</v>
      </c>
      <c r="E290" s="7">
        <v>0.57847222222222228</v>
      </c>
      <c r="F290" s="7">
        <v>0.74861111111111112</v>
      </c>
      <c r="G290" s="8">
        <v>0.36666666666666697</v>
      </c>
      <c r="H290" s="7">
        <f>((D290-C290)+(F290-E290))-Tabela1[[#This Row],[Expediente]]</f>
        <v>1.666666666666633E-2</v>
      </c>
    </row>
    <row r="291" spans="1:8" x14ac:dyDescent="0.25">
      <c r="A291" s="9">
        <v>46002</v>
      </c>
      <c r="B291" s="4" t="str">
        <f t="shared" si="18"/>
        <v>quinta-feira</v>
      </c>
      <c r="C291" s="7">
        <v>0.31111111111111112</v>
      </c>
      <c r="D291" s="7">
        <v>0.52361111111111114</v>
      </c>
      <c r="E291" s="7">
        <v>0.57638888888888884</v>
      </c>
      <c r="F291" s="7">
        <v>0.74930555555555556</v>
      </c>
      <c r="G291" s="7">
        <v>0.36666666666666697</v>
      </c>
      <c r="H291" s="7">
        <f>((D291-C291)+(F291-E291))-Tabela1[[#This Row],[Expediente]]</f>
        <v>1.8749999999999767E-2</v>
      </c>
    </row>
    <row r="292" spans="1:8" x14ac:dyDescent="0.25">
      <c r="A292" s="9">
        <v>46003</v>
      </c>
      <c r="B292" s="4" t="str">
        <f t="shared" si="18"/>
        <v>sexta-feira</v>
      </c>
      <c r="C292" s="7">
        <v>0.31041666666666667</v>
      </c>
      <c r="D292" s="7">
        <v>0.52430555555555558</v>
      </c>
      <c r="E292" s="7">
        <v>0.57638888888888884</v>
      </c>
      <c r="F292" s="7">
        <v>0.75486111111111109</v>
      </c>
      <c r="G292" s="8">
        <v>0.36666666666666697</v>
      </c>
      <c r="H292" s="7">
        <f>((D292-C292)+(F292-E292))-Tabela1[[#This Row],[Expediente]]</f>
        <v>2.5694444444444187E-2</v>
      </c>
    </row>
    <row r="293" spans="1:8" x14ac:dyDescent="0.25">
      <c r="A293" s="9">
        <v>46006</v>
      </c>
      <c r="B293" s="4" t="str">
        <f t="shared" si="18"/>
        <v>segunda-feira</v>
      </c>
      <c r="C293" s="7">
        <v>0.3125</v>
      </c>
      <c r="D293" s="7">
        <v>0.53125</v>
      </c>
      <c r="E293" s="7">
        <v>0.57013888888888886</v>
      </c>
      <c r="F293" s="7">
        <v>0.74652777777777779</v>
      </c>
      <c r="G293" s="7">
        <v>0.36666666666666697</v>
      </c>
      <c r="H293" s="7">
        <f>((D293-C293)+(F293-E293))-Tabela1[[#This Row],[Expediente]]</f>
        <v>2.8472222222221955E-2</v>
      </c>
    </row>
    <row r="294" spans="1:8" x14ac:dyDescent="0.25">
      <c r="A294" s="9">
        <v>46007</v>
      </c>
      <c r="B294" s="4" t="str">
        <f t="shared" si="18"/>
        <v>terça-feira</v>
      </c>
      <c r="C294" s="7">
        <v>0.3125</v>
      </c>
      <c r="D294" s="7">
        <v>0.53333333333333333</v>
      </c>
      <c r="E294" s="7">
        <v>0.5756944444444444</v>
      </c>
      <c r="F294" s="7">
        <v>0.74444444444444446</v>
      </c>
      <c r="G294" s="8">
        <v>0.36666666666666697</v>
      </c>
      <c r="H294" s="7">
        <f>((D294-C294)+(F294-E294))-Tabela1[[#This Row],[Expediente]]</f>
        <v>2.2916666666666419E-2</v>
      </c>
    </row>
    <row r="295" spans="1:8" x14ac:dyDescent="0.25">
      <c r="A295" s="9">
        <v>46008</v>
      </c>
      <c r="B295" s="4" t="str">
        <f t="shared" si="18"/>
        <v>quarta-feira</v>
      </c>
      <c r="C295" s="7">
        <v>0.29305555555555557</v>
      </c>
      <c r="D295" s="7">
        <v>0.52777777777777779</v>
      </c>
      <c r="E295" s="7">
        <v>0.57847222222222228</v>
      </c>
      <c r="F295" s="7">
        <v>0.74027777777777781</v>
      </c>
      <c r="G295" s="7">
        <v>0.36666666666666697</v>
      </c>
      <c r="H295" s="7">
        <f>((D295-C295)+(F295-E295))-Tabela1[[#This Row],[Expediente]]</f>
        <v>2.9861111111110783E-2</v>
      </c>
    </row>
    <row r="296" spans="1:8" x14ac:dyDescent="0.25">
      <c r="A296" s="9">
        <v>46009</v>
      </c>
      <c r="B296" s="4" t="str">
        <f t="shared" si="18"/>
        <v>quinta-feira</v>
      </c>
      <c r="C296" s="7">
        <v>0.30625000000000002</v>
      </c>
      <c r="D296" s="7">
        <v>0.52222222222222225</v>
      </c>
      <c r="E296" s="7">
        <v>0.56736111111111109</v>
      </c>
      <c r="F296" s="7">
        <v>0.78888888888888886</v>
      </c>
      <c r="G296" s="8">
        <v>0.36666666666666697</v>
      </c>
      <c r="H296" s="7">
        <f>((D296-C296)+(F296-E296))-Tabela1[[#This Row],[Expediente]]</f>
        <v>7.0833333333333026E-2</v>
      </c>
    </row>
    <row r="297" spans="1:8" x14ac:dyDescent="0.25">
      <c r="A297" s="9">
        <v>46010</v>
      </c>
      <c r="B297" s="4" t="str">
        <f t="shared" si="18"/>
        <v>sexta-feira</v>
      </c>
      <c r="C297" s="7">
        <v>0.30694444444444446</v>
      </c>
      <c r="D297" s="7">
        <v>0.52847222222222223</v>
      </c>
      <c r="E297" s="7">
        <v>0.57430555555555551</v>
      </c>
      <c r="F297" s="7">
        <v>0.73750000000000004</v>
      </c>
      <c r="G297" s="7">
        <v>0.36666666666666697</v>
      </c>
      <c r="H297" s="7">
        <f>((D297-C297)+(F297-E297))-Tabela1[[#This Row],[Expediente]]</f>
        <v>1.8055555555555325E-2</v>
      </c>
    </row>
    <row r="298" spans="1:8" x14ac:dyDescent="0.25">
      <c r="A298" s="9">
        <v>46013</v>
      </c>
      <c r="B298" s="4" t="str">
        <f t="shared" ref="B298:B314" si="19">TEXT(A298,"dddd")</f>
        <v>segunda-feira</v>
      </c>
      <c r="C298" s="7">
        <v>0.30486111111111114</v>
      </c>
      <c r="D298" s="7">
        <v>0.52152777777777781</v>
      </c>
      <c r="E298" s="7">
        <v>0.57291666666666663</v>
      </c>
      <c r="F298" s="7">
        <v>0.75138888888888888</v>
      </c>
      <c r="G298" s="8">
        <v>0.36666666666666697</v>
      </c>
      <c r="H298" s="7">
        <f>((D298-C298)+(F298-E298))-Tabela1[[#This Row],[Expediente]]</f>
        <v>2.8472222222221955E-2</v>
      </c>
    </row>
    <row r="299" spans="1:8" x14ac:dyDescent="0.25">
      <c r="A299" s="9">
        <v>46014</v>
      </c>
      <c r="B299" s="4" t="str">
        <f t="shared" si="19"/>
        <v>terça-feira</v>
      </c>
      <c r="C299" s="7">
        <v>0.30069444444444443</v>
      </c>
      <c r="D299" s="7">
        <v>0.52222222222222225</v>
      </c>
      <c r="E299" s="7">
        <v>0.56944444444444442</v>
      </c>
      <c r="F299" s="7">
        <v>0.74722222222222223</v>
      </c>
      <c r="G299" s="7">
        <v>0.36666666666666697</v>
      </c>
      <c r="H299" s="7">
        <f>((D299-C299)+(F299-E299))-Tabela1[[#This Row],[Expediente]]</f>
        <v>3.2638888888888662E-2</v>
      </c>
    </row>
    <row r="300" spans="1:8" x14ac:dyDescent="0.25">
      <c r="A300" s="9">
        <v>46020</v>
      </c>
      <c r="B300" s="4" t="str">
        <f t="shared" si="19"/>
        <v>segunda-feira</v>
      </c>
      <c r="C300" s="7">
        <v>0.29583333333333334</v>
      </c>
      <c r="D300" s="7">
        <v>0.52361111111111114</v>
      </c>
      <c r="E300" s="7">
        <v>0.56597222222222221</v>
      </c>
      <c r="F300" s="7">
        <v>0.7416666666666667</v>
      </c>
      <c r="G300" s="7">
        <v>0.36666666666666697</v>
      </c>
      <c r="H300" s="7">
        <f>((D300-C300)+(F300-E300))-Tabela1[[#This Row],[Expediente]]</f>
        <v>3.6805555555555314E-2</v>
      </c>
    </row>
    <row r="301" spans="1:8" x14ac:dyDescent="0.25">
      <c r="A301" s="9">
        <v>46021</v>
      </c>
      <c r="B301" s="4" t="str">
        <f t="shared" si="19"/>
        <v>terça-feira</v>
      </c>
      <c r="C301" s="7">
        <v>0.29444444444444445</v>
      </c>
      <c r="D301" s="7">
        <v>0.52222222222222225</v>
      </c>
      <c r="E301" s="7">
        <v>0.56805555555555554</v>
      </c>
      <c r="F301" s="7">
        <v>0.73888888888888893</v>
      </c>
      <c r="G301" s="8">
        <v>0.36666666666666697</v>
      </c>
      <c r="H301" s="7">
        <f>((D301-C301)+(F301-E301))-Tabela1[[#This Row],[Expediente]]</f>
        <v>3.194444444444422E-2</v>
      </c>
    </row>
    <row r="302" spans="1:8" x14ac:dyDescent="0.25">
      <c r="A302" s="9">
        <v>46027</v>
      </c>
      <c r="B302" s="4" t="str">
        <f t="shared" si="19"/>
        <v>segunda-feira</v>
      </c>
      <c r="C302" s="7">
        <v>0.3</v>
      </c>
      <c r="D302" s="7">
        <v>0.52083333333333337</v>
      </c>
      <c r="E302" s="7">
        <v>0.56597222222222221</v>
      </c>
      <c r="F302" s="7">
        <v>0.74305555555555558</v>
      </c>
      <c r="G302" s="8">
        <v>0.36666666666666697</v>
      </c>
      <c r="H302" s="7">
        <f>((D302-C302)+(F302-E302))-Tabela1[[#This Row],[Expediente]]</f>
        <v>3.1249999999999778E-2</v>
      </c>
    </row>
    <row r="303" spans="1:8" x14ac:dyDescent="0.25">
      <c r="A303" s="9">
        <v>46028</v>
      </c>
      <c r="B303" s="4" t="str">
        <f t="shared" si="19"/>
        <v>terça-feira</v>
      </c>
      <c r="C303" s="7">
        <v>0.30208333333333331</v>
      </c>
      <c r="D303" s="7">
        <v>0.52152777777777781</v>
      </c>
      <c r="E303" s="7">
        <v>0.5708333333333333</v>
      </c>
      <c r="F303" s="7">
        <v>0.74375000000000002</v>
      </c>
      <c r="G303" s="7">
        <v>0.36666666666666697</v>
      </c>
      <c r="H303" s="7">
        <f>((D303-C303)+(F303-E303))-Tabela1[[#This Row],[Expediente]]</f>
        <v>2.5694444444444242E-2</v>
      </c>
    </row>
    <row r="304" spans="1:8" x14ac:dyDescent="0.25">
      <c r="A304" s="9">
        <v>46029</v>
      </c>
      <c r="B304" s="4" t="str">
        <f t="shared" si="19"/>
        <v>quarta-feira</v>
      </c>
      <c r="C304" s="7">
        <v>0.30833333333333335</v>
      </c>
      <c r="D304" s="7">
        <v>0.51736111111111116</v>
      </c>
      <c r="E304" s="7">
        <v>0.56458333333333333</v>
      </c>
      <c r="F304" s="7">
        <v>0.7416666666666667</v>
      </c>
      <c r="G304" s="8">
        <v>0.36666666666666697</v>
      </c>
      <c r="H304" s="7">
        <f>((D304-C304)+(F304-E304))-Tabela1[[#This Row],[Expediente]]</f>
        <v>1.9444444444444209E-2</v>
      </c>
    </row>
    <row r="305" spans="1:8" x14ac:dyDescent="0.25">
      <c r="A305" s="9">
        <v>46030</v>
      </c>
      <c r="B305" s="4" t="str">
        <f t="shared" si="19"/>
        <v>quinta-feira</v>
      </c>
      <c r="C305" s="7">
        <v>0.30555555555555558</v>
      </c>
      <c r="D305" s="7">
        <v>0.51875000000000004</v>
      </c>
      <c r="E305" s="7">
        <v>0.5805555555555556</v>
      </c>
      <c r="F305" s="7">
        <v>0.74027777777777781</v>
      </c>
      <c r="G305" s="7">
        <v>0.36666666666666697</v>
      </c>
      <c r="H305" s="7">
        <f>((D305-C305)+(F305-E305))-Tabela1[[#This Row],[Expediente]]</f>
        <v>6.2499999999997002E-3</v>
      </c>
    </row>
    <row r="306" spans="1:8" x14ac:dyDescent="0.25">
      <c r="A306" s="9">
        <v>46031</v>
      </c>
      <c r="B306" s="4" t="str">
        <f t="shared" si="19"/>
        <v>sexta-feira</v>
      </c>
      <c r="C306" s="7">
        <v>0.30763888888888891</v>
      </c>
      <c r="D306" s="7">
        <v>0.5229166666666667</v>
      </c>
      <c r="E306" s="7">
        <v>0.56736111111111109</v>
      </c>
      <c r="F306" s="7">
        <v>0.76111111111111107</v>
      </c>
      <c r="G306" s="8">
        <v>0.36666666666666697</v>
      </c>
      <c r="H306" s="7">
        <f>((D306-C306)+(F306-E306))-Tabela1[[#This Row],[Expediente]]</f>
        <v>4.2361111111110794E-2</v>
      </c>
    </row>
    <row r="307" spans="1:8" x14ac:dyDescent="0.25">
      <c r="A307" s="9">
        <v>46034</v>
      </c>
      <c r="B307" s="4" t="str">
        <f t="shared" si="19"/>
        <v>segunda-feira</v>
      </c>
      <c r="C307" s="7">
        <v>0.30694444444444446</v>
      </c>
      <c r="D307" s="7">
        <v>0.52916666666666667</v>
      </c>
      <c r="E307" s="7">
        <v>0.57152777777777775</v>
      </c>
      <c r="F307" s="7">
        <v>0.75138888888888888</v>
      </c>
      <c r="G307" s="7">
        <v>0.36666666666666697</v>
      </c>
      <c r="H307" s="7">
        <f>((D307-C307)+(F307-E307))-Tabela1[[#This Row],[Expediente]]</f>
        <v>3.5416666666666374E-2</v>
      </c>
    </row>
    <row r="308" spans="1:8" x14ac:dyDescent="0.25">
      <c r="A308" s="9">
        <v>46035</v>
      </c>
      <c r="B308" s="4" t="str">
        <f t="shared" si="19"/>
        <v>terça-feira</v>
      </c>
      <c r="C308" s="7">
        <v>0.30625000000000002</v>
      </c>
      <c r="D308" s="7">
        <v>0.52083333333333337</v>
      </c>
      <c r="E308" s="7">
        <v>0.57986111111111116</v>
      </c>
      <c r="F308" s="7">
        <v>0.74375000000000002</v>
      </c>
      <c r="G308" s="8">
        <v>0.36666666666666697</v>
      </c>
      <c r="H308" s="7">
        <f>((D308-C308)+(F308-E308))-Tabela1[[#This Row],[Expediente]]</f>
        <v>1.1805555555555236E-2</v>
      </c>
    </row>
    <row r="309" spans="1:8" x14ac:dyDescent="0.25">
      <c r="A309" s="9">
        <v>46036</v>
      </c>
      <c r="B309" s="4" t="str">
        <f t="shared" si="19"/>
        <v>quarta-feira</v>
      </c>
      <c r="C309" s="7">
        <v>0.31041666666666667</v>
      </c>
      <c r="D309" s="7">
        <v>0.51944444444444449</v>
      </c>
      <c r="E309" s="7">
        <v>0.57222222222222219</v>
      </c>
      <c r="F309" s="7">
        <v>0.73750000000000004</v>
      </c>
      <c r="G309" s="7">
        <v>0.36666666666666697</v>
      </c>
      <c r="H309" s="7">
        <f>((D309-C309)+(F309-E309))-Tabela1[[#This Row],[Expediente]]</f>
        <v>7.6388888888886952E-3</v>
      </c>
    </row>
    <row r="310" spans="1:8" x14ac:dyDescent="0.25">
      <c r="A310" s="9">
        <v>46037</v>
      </c>
      <c r="B310" s="4" t="str">
        <f t="shared" si="19"/>
        <v>quinta-feira</v>
      </c>
      <c r="C310" s="7">
        <v>0.31458333333333333</v>
      </c>
      <c r="D310" s="7">
        <v>0.51944444444444449</v>
      </c>
      <c r="E310" s="7">
        <v>0.56666666666666665</v>
      </c>
      <c r="F310" s="7">
        <v>0.74236111111111114</v>
      </c>
      <c r="G310" s="8">
        <v>0.36666666666666697</v>
      </c>
      <c r="H310" s="7">
        <f>((D310-C310)+(F310-E310))-Tabela1[[#This Row],[Expediente]]</f>
        <v>1.3888888888888673E-2</v>
      </c>
    </row>
    <row r="311" spans="1:8" x14ac:dyDescent="0.25">
      <c r="A311" s="9">
        <v>46038</v>
      </c>
      <c r="B311" s="4" t="str">
        <f t="shared" si="19"/>
        <v>sexta-feira</v>
      </c>
      <c r="C311" s="7">
        <v>0.31180555555555556</v>
      </c>
      <c r="D311" s="7">
        <v>0.52083333333333337</v>
      </c>
      <c r="E311" s="7">
        <v>0.57777777777777772</v>
      </c>
      <c r="F311" s="7">
        <v>0.7368055555555556</v>
      </c>
      <c r="G311" s="7">
        <v>0.36666666666666697</v>
      </c>
      <c r="H311" s="7">
        <f>((D311-C311)+(F311-E311))-Tabela1[[#This Row],[Expediente]]</f>
        <v>1.3888888888887174E-3</v>
      </c>
    </row>
    <row r="312" spans="1:8" x14ac:dyDescent="0.25">
      <c r="A312" s="9">
        <v>46041</v>
      </c>
      <c r="B312" s="4" t="str">
        <f t="shared" si="19"/>
        <v>segunda-feira</v>
      </c>
      <c r="C312" s="7"/>
      <c r="D312" s="7"/>
      <c r="E312" s="7"/>
      <c r="F312" s="7"/>
      <c r="G312" s="8">
        <v>0.36666666666666697</v>
      </c>
      <c r="H312" s="7">
        <f>((D312-C312)+(F312-E312))-Tabela1[[#This Row],[Expediente]]</f>
        <v>-0.36666666666666697</v>
      </c>
    </row>
    <row r="313" spans="1:8" x14ac:dyDescent="0.25">
      <c r="A313" s="9">
        <v>46042</v>
      </c>
      <c r="B313" s="4" t="str">
        <f t="shared" si="19"/>
        <v>terça-feira</v>
      </c>
      <c r="C313" s="7"/>
      <c r="D313" s="7"/>
      <c r="E313" s="7"/>
      <c r="F313" s="7"/>
      <c r="G313" s="7">
        <v>0.36666666666666697</v>
      </c>
      <c r="H313" s="7">
        <f>((D313-C313)+(F313-E313))-Tabela1[[#This Row],[Expediente]]</f>
        <v>-0.36666666666666697</v>
      </c>
    </row>
    <row r="314" spans="1:8" x14ac:dyDescent="0.25">
      <c r="A314" s="9">
        <v>46043</v>
      </c>
      <c r="B314" s="4" t="str">
        <f t="shared" si="19"/>
        <v>quarta-feira</v>
      </c>
      <c r="C314" s="7"/>
      <c r="D314" s="7"/>
      <c r="E314" s="7"/>
      <c r="F314" s="7"/>
      <c r="G314" s="8">
        <v>0.36666666666666697</v>
      </c>
      <c r="H314" s="7">
        <f>((D314-C314)+(F314-E314))-Tabela1[[#This Row],[Expediente]]</f>
        <v>-0.36666666666666697</v>
      </c>
    </row>
    <row r="315" spans="1:8" x14ac:dyDescent="0.25">
      <c r="A315" s="9">
        <v>46044</v>
      </c>
      <c r="B315" s="4" t="str">
        <f t="shared" ref="B315:B317" si="20">TEXT(A315,"dddd")</f>
        <v>quinta-feira</v>
      </c>
      <c r="C315" s="7"/>
      <c r="D315" s="7"/>
      <c r="E315" s="7"/>
      <c r="F315" s="7"/>
      <c r="G315" s="7">
        <v>0.36666666666666697</v>
      </c>
      <c r="H315" s="7">
        <f>((D315-C315)+(F315-E315))-Tabela1[[#This Row],[Expediente]]</f>
        <v>-0.36666666666666697</v>
      </c>
    </row>
    <row r="316" spans="1:8" x14ac:dyDescent="0.25">
      <c r="A316" s="9">
        <v>46045</v>
      </c>
      <c r="B316" s="4" t="str">
        <f t="shared" si="20"/>
        <v>sexta-feira</v>
      </c>
      <c r="C316" s="7"/>
      <c r="D316" s="7"/>
      <c r="E316" s="7"/>
      <c r="F316" s="7"/>
      <c r="G316" s="8">
        <v>0.36666666666666697</v>
      </c>
      <c r="H316" s="7">
        <f>((D316-C316)+(F316-E316))-Tabela1[[#This Row],[Expediente]]</f>
        <v>-0.36666666666666697</v>
      </c>
    </row>
    <row r="317" spans="1:8" x14ac:dyDescent="0.25">
      <c r="A317" s="9">
        <v>46048</v>
      </c>
      <c r="B317" s="4" t="str">
        <f t="shared" si="20"/>
        <v>segunda-feira</v>
      </c>
      <c r="C317" s="7"/>
      <c r="D317" s="7"/>
      <c r="E317" s="7"/>
      <c r="F317" s="7"/>
      <c r="G317" s="7">
        <v>0.36666666666666697</v>
      </c>
      <c r="H317" s="7">
        <f>((D317-C317)+(F317-E317))-Tabela1[[#This Row],[Expediente]]</f>
        <v>-0.36666666666666697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Paulo Junior</dc:creator>
  <cp:lastModifiedBy>José Paulo Junior</cp:lastModifiedBy>
  <dcterms:created xsi:type="dcterms:W3CDTF">2015-06-05T18:19:34Z</dcterms:created>
  <dcterms:modified xsi:type="dcterms:W3CDTF">2026-01-17T18:42:33Z</dcterms:modified>
</cp:coreProperties>
</file>